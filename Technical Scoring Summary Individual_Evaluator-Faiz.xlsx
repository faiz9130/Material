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smebank-my.sharepoint.com/personal/mohd_faiza_smebank_com_my/Documents/SME IT INFRA/Project SME/Project 2025/CBS Infrstructure Support and Maintenance/Evaluation/Technical Scoring Individual/Faiz/"/>
    </mc:Choice>
  </mc:AlternateContent>
  <xr:revisionPtr revIDLastSave="0" documentId="8_{FB62258D-70A8-4707-81AB-D6AA2DDB816B}" xr6:coauthVersionLast="47" xr6:coauthVersionMax="47" xr10:uidLastSave="{00000000-0000-0000-0000-000000000000}"/>
  <bookViews>
    <workbookView xWindow="-98" yWindow="-98" windowWidth="21795" windowHeight="12975" tabRatio="790" firstSheet="4" activeTab="4" xr2:uid="{00000000-000D-0000-FFFF-FFFF00000000}"/>
  </bookViews>
  <sheets>
    <sheet name="T3" sheetId="19" state="hidden" r:id="rId1"/>
    <sheet name="T6" sheetId="22" state="hidden" r:id="rId2"/>
    <sheet name="Bright Nexus" sheetId="26" state="hidden" r:id="rId3"/>
    <sheet name="Summary" sheetId="41" r:id="rId4"/>
    <sheet name="3F Resources" sheetId="40" r:id="rId5"/>
    <sheet name="Fronix" sheetId="43" r:id="rId6"/>
    <sheet name="Qube Apps" sheetId="44" r:id="rId7"/>
    <sheet name="Rafatech" sheetId="42" r:id="rId8"/>
    <sheet name="Scoring Guidelines" sheetId="13" r:id="rId9"/>
  </sheets>
  <externalReferences>
    <externalReference r:id="rId10"/>
  </externalReferences>
  <definedNames>
    <definedName name="_xlnm.Print_Area" localSheetId="4">'3F Resources'!$A$1:$E$85</definedName>
    <definedName name="_xlnm.Print_Area" localSheetId="5">Fronix!$A$1:$E$85</definedName>
    <definedName name="_xlnm.Print_Area" localSheetId="6">'Qube Apps'!$A$1:$E$85</definedName>
    <definedName name="_xlnm.Print_Area" localSheetId="7">Rafatech!$A$1:$E$85</definedName>
    <definedName name="_xlnm.Print_Area" localSheetId="3">Summary!$A$1:$P$30</definedName>
    <definedName name="_xlnm.Print_Titles" localSheetId="8">'Scoring Guidelines'!$5:$5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1" l="1"/>
  <c r="E24" i="41"/>
  <c r="D72" i="42"/>
  <c r="D64" i="42"/>
  <c r="D65" i="42" s="1"/>
  <c r="D55" i="42"/>
  <c r="D54" i="42"/>
  <c r="D53" i="42"/>
  <c r="D52" i="42"/>
  <c r="D51" i="42"/>
  <c r="D50" i="42"/>
  <c r="D56" i="42" s="1"/>
  <c r="D57" i="42" s="1"/>
  <c r="D45" i="42"/>
  <c r="D46" i="42" s="1"/>
  <c r="D36" i="42"/>
  <c r="D37" i="42" s="1"/>
  <c r="D16" i="42"/>
  <c r="D24" i="42" s="1"/>
  <c r="D25" i="42" s="1"/>
  <c r="D72" i="44"/>
  <c r="D64" i="44"/>
  <c r="D65" i="44" s="1"/>
  <c r="D55" i="44"/>
  <c r="D54" i="44"/>
  <c r="D53" i="44"/>
  <c r="D52" i="44"/>
  <c r="D51" i="44"/>
  <c r="D50" i="44"/>
  <c r="D56" i="44" s="1"/>
  <c r="D57" i="44" s="1"/>
  <c r="D45" i="44"/>
  <c r="D46" i="44" s="1"/>
  <c r="D36" i="44"/>
  <c r="D37" i="44" s="1"/>
  <c r="D16" i="44"/>
  <c r="D24" i="44" s="1"/>
  <c r="D25" i="44" s="1"/>
  <c r="D72" i="43"/>
  <c r="D64" i="43"/>
  <c r="D65" i="43" s="1"/>
  <c r="D55" i="43"/>
  <c r="D54" i="43"/>
  <c r="D53" i="43"/>
  <c r="D52" i="43"/>
  <c r="D51" i="43"/>
  <c r="D50" i="43"/>
  <c r="D56" i="43" s="1"/>
  <c r="D57" i="43" s="1"/>
  <c r="G25" i="41" s="1"/>
  <c r="D45" i="43"/>
  <c r="D46" i="43" s="1"/>
  <c r="D36" i="43"/>
  <c r="D37" i="43" s="1"/>
  <c r="D16" i="43"/>
  <c r="D24" i="43" s="1"/>
  <c r="D25" i="43" s="1"/>
  <c r="D72" i="40"/>
  <c r="D64" i="40"/>
  <c r="D65" i="40" s="1"/>
  <c r="D55" i="40"/>
  <c r="D54" i="40"/>
  <c r="D53" i="40"/>
  <c r="D52" i="40"/>
  <c r="D51" i="40"/>
  <c r="D50" i="40"/>
  <c r="D56" i="40" s="1"/>
  <c r="D57" i="40" s="1"/>
  <c r="D45" i="40"/>
  <c r="D46" i="40" s="1"/>
  <c r="D36" i="40"/>
  <c r="D37" i="40" s="1"/>
  <c r="D16" i="40"/>
  <c r="D24" i="40" s="1"/>
  <c r="D25" i="40" s="1"/>
  <c r="L27" i="41"/>
  <c r="L26" i="41"/>
  <c r="L25" i="41"/>
  <c r="H27" i="41"/>
  <c r="H26" i="41"/>
  <c r="H25" i="41"/>
  <c r="H24" i="41"/>
  <c r="F27" i="41"/>
  <c r="F26" i="41"/>
  <c r="F25" i="41"/>
  <c r="E27" i="41"/>
  <c r="E26" i="41"/>
  <c r="E25" i="41"/>
  <c r="D27" i="41"/>
  <c r="D26" i="41"/>
  <c r="D25" i="41"/>
  <c r="D24" i="41"/>
  <c r="C4" i="42"/>
  <c r="C4" i="44"/>
  <c r="C4" i="43"/>
  <c r="C4" i="40"/>
  <c r="C6" i="44"/>
  <c r="C5" i="44"/>
  <c r="C6" i="43"/>
  <c r="C5" i="43"/>
  <c r="C6" i="42"/>
  <c r="C5" i="42"/>
  <c r="D67" i="42" l="1"/>
  <c r="D67" i="44"/>
  <c r="D67" i="43"/>
  <c r="D67" i="40"/>
  <c r="G26" i="41"/>
  <c r="G27" i="41"/>
  <c r="D18" i="41"/>
  <c r="D17" i="41"/>
  <c r="D19" i="41"/>
  <c r="C6" i="40" l="1"/>
  <c r="C5" i="40"/>
  <c r="G24" i="41" l="1"/>
  <c r="I25" i="41" l="1"/>
  <c r="J25" i="41" s="1"/>
  <c r="I27" i="41"/>
  <c r="J27" i="41" s="1"/>
  <c r="I26" i="41"/>
  <c r="J26" i="41" s="1"/>
  <c r="C26" i="41"/>
  <c r="C25" i="41"/>
  <c r="C24" i="41"/>
  <c r="F17" i="41" l="1"/>
  <c r="G17" i="41" s="1"/>
  <c r="F18" i="41"/>
  <c r="G18" i="41" s="1"/>
  <c r="C27" i="41" l="1"/>
  <c r="L24" i="41"/>
  <c r="D15" i="41" l="1"/>
  <c r="I24" i="41" l="1"/>
  <c r="J24" i="41" s="1"/>
  <c r="D74" i="26"/>
  <c r="D69" i="26"/>
  <c r="D67" i="26"/>
  <c r="D60" i="26"/>
  <c r="D54" i="26"/>
  <c r="D42" i="26"/>
  <c r="D36" i="26"/>
  <c r="D32" i="26"/>
  <c r="D24" i="26"/>
  <c r="D25" i="26" s="1"/>
  <c r="D26" i="26" s="1"/>
  <c r="D43" i="26" l="1"/>
  <c r="D44" i="26" s="1"/>
  <c r="D61" i="26"/>
  <c r="D62" i="26" s="1"/>
  <c r="D76" i="26" l="1"/>
  <c r="F19" i="41" l="1"/>
  <c r="G19" i="41" s="1"/>
  <c r="D16" i="41" l="1"/>
  <c r="F16" i="41" l="1"/>
  <c r="G16" i="41" s="1"/>
  <c r="H16" i="41" l="1"/>
  <c r="H18" i="41"/>
  <c r="H17" i="41"/>
  <c r="H19" i="41"/>
</calcChain>
</file>

<file path=xl/sharedStrings.xml><?xml version="1.0" encoding="utf-8"?>
<sst xmlns="http://schemas.openxmlformats.org/spreadsheetml/2006/main" count="914" uniqueCount="315">
  <si>
    <t>RFP EVALUATION STAGE I : PROJECT ACTIVE DIRECTORY AND EMAIL STRUCTURE</t>
  </si>
  <si>
    <t>Tenderer No :</t>
  </si>
  <si>
    <t>Getronics Solutions (Malaysia) Sdn Bhd</t>
  </si>
  <si>
    <t>Date           :</t>
  </si>
  <si>
    <t>Evaluator  :</t>
  </si>
  <si>
    <t>SCORING</t>
  </si>
  <si>
    <t>0-Lowest    -------------------------------&gt;   5-Highest</t>
  </si>
  <si>
    <t>No.</t>
  </si>
  <si>
    <t>RFP Section</t>
  </si>
  <si>
    <t>Score</t>
  </si>
  <si>
    <t>Comments</t>
  </si>
  <si>
    <t>COMPANY PROFILE (30%)</t>
  </si>
  <si>
    <t>5.1.1</t>
  </si>
  <si>
    <t>Executive Summary (5 Marks)</t>
  </si>
  <si>
    <t>Executive Summary</t>
  </si>
  <si>
    <t>5.1.2</t>
  </si>
  <si>
    <t>Statement of Capability (30 Marks)</t>
  </si>
  <si>
    <t>5.1.2.1</t>
  </si>
  <si>
    <t>Company Profile</t>
  </si>
  <si>
    <t>5.1.2.2</t>
  </si>
  <si>
    <t>Qualifications</t>
  </si>
  <si>
    <t>5.1.2.3</t>
  </si>
  <si>
    <t>Resources / capabilities</t>
  </si>
  <si>
    <t>5.1.2.4</t>
  </si>
  <si>
    <t>Subcontractors</t>
  </si>
  <si>
    <t>5.1.2.5</t>
  </si>
  <si>
    <t>Relevant clients</t>
  </si>
  <si>
    <t>5.1.2.6</t>
  </si>
  <si>
    <t>Local Support Team</t>
  </si>
  <si>
    <t>IMPLEMENTATION STRATEGY (40%)</t>
  </si>
  <si>
    <t>5.1.3</t>
  </si>
  <si>
    <t>Scope of work (15 Marks)</t>
  </si>
  <si>
    <t>5.1.3.1</t>
  </si>
  <si>
    <t>Methodology</t>
  </si>
  <si>
    <t>5.1.3.2</t>
  </si>
  <si>
    <t>Implementation Approach</t>
  </si>
  <si>
    <t>5.1.3.3</t>
  </si>
  <si>
    <t>Project Team Structure</t>
  </si>
  <si>
    <t>5.1.5</t>
  </si>
  <si>
    <t>Project Management (10 Marks)</t>
  </si>
  <si>
    <t>5.1.5.1</t>
  </si>
  <si>
    <t>Management &amp; Reporting</t>
  </si>
  <si>
    <t>5.1.5.2</t>
  </si>
  <si>
    <t>Quality Assurance</t>
  </si>
  <si>
    <t>5.1.8</t>
  </si>
  <si>
    <t>Implementation Plan (20 Marks)</t>
  </si>
  <si>
    <t>5.1.8.1</t>
  </si>
  <si>
    <t>Proposed Timeline</t>
  </si>
  <si>
    <t>5.1.8.2</t>
  </si>
  <si>
    <t>Proposed Phases</t>
  </si>
  <si>
    <t>5.1.8.3</t>
  </si>
  <si>
    <t>Proposed Milestones &amp; Deliverables</t>
  </si>
  <si>
    <t>5.1.8.4</t>
  </si>
  <si>
    <t>Dependencies</t>
  </si>
  <si>
    <t>SUPPORT (15%)</t>
  </si>
  <si>
    <t>5.1.6</t>
  </si>
  <si>
    <t>Vendor Support (35 Marks)</t>
  </si>
  <si>
    <t>5.1.6.1</t>
  </si>
  <si>
    <t>Software License, Implementation and Maintenance Agreement</t>
  </si>
  <si>
    <t>5.1.6.2</t>
  </si>
  <si>
    <t>Warranty Period</t>
  </si>
  <si>
    <t>5.1.6.3</t>
  </si>
  <si>
    <t>Online Assistance</t>
  </si>
  <si>
    <t>5.1.6.4</t>
  </si>
  <si>
    <t>Response Time</t>
  </si>
  <si>
    <t>5.1.6.5</t>
  </si>
  <si>
    <t>Remote Support</t>
  </si>
  <si>
    <t>5.1.6.6</t>
  </si>
  <si>
    <t>Administrator/User Training</t>
  </si>
  <si>
    <t>5.1.6.7</t>
  </si>
  <si>
    <t>User Focus Group</t>
  </si>
  <si>
    <t>5.1.7</t>
  </si>
  <si>
    <t>Resources (20 Marks)</t>
  </si>
  <si>
    <t>5.1.7.1</t>
  </si>
  <si>
    <t>Subject Matter Expert</t>
  </si>
  <si>
    <t>5.1.7.2</t>
  </si>
  <si>
    <t>Committed Resources</t>
  </si>
  <si>
    <t>5.1.7.3</t>
  </si>
  <si>
    <t>Language Ability</t>
  </si>
  <si>
    <t>5.1.10.1</t>
  </si>
  <si>
    <t>Curriculum Vitae</t>
  </si>
  <si>
    <t>REFERENCES (10%)</t>
  </si>
  <si>
    <t>5.1.9</t>
  </si>
  <si>
    <t>Relevant References (10 Marks)</t>
  </si>
  <si>
    <t>5.1.9.1</t>
  </si>
  <si>
    <t>Relevant References</t>
  </si>
  <si>
    <t>5.1.10.2</t>
  </si>
  <si>
    <t>Case Studies</t>
  </si>
  <si>
    <t>OTHERS (5%)</t>
  </si>
  <si>
    <t>5.1.10</t>
  </si>
  <si>
    <t>Others (5 Marks)</t>
  </si>
  <si>
    <t>5.1.10.3</t>
  </si>
  <si>
    <t>Other Information</t>
  </si>
  <si>
    <t>TOTAL</t>
  </si>
  <si>
    <t>Signature : _____________________________</t>
  </si>
  <si>
    <t xml:space="preserve">                   (</t>
  </si>
  <si>
    <t xml:space="preserve">                )</t>
  </si>
  <si>
    <t>Date         : ____________________________</t>
  </si>
  <si>
    <t>Millennium Radius Sdn Bhd</t>
  </si>
  <si>
    <t>Statement of Capability</t>
  </si>
  <si>
    <t>Scope of work</t>
  </si>
  <si>
    <t>Project Management</t>
  </si>
  <si>
    <t>Implementation Plan</t>
  </si>
  <si>
    <t>Vendor Support</t>
  </si>
  <si>
    <t>Resources</t>
  </si>
  <si>
    <t>Others</t>
  </si>
  <si>
    <t>RFP EVALUATION STAGE I : To Implement Content Filter and Redundant Tier 2 Firewall for SME Bank</t>
  </si>
  <si>
    <t>Tenderer     :</t>
  </si>
  <si>
    <t>Bright Nexus Sdn Bhd</t>
  </si>
  <si>
    <t>Marks</t>
  </si>
  <si>
    <t>Total Marks / 35</t>
  </si>
  <si>
    <t>Percentage (%)</t>
  </si>
  <si>
    <t>Total Marks / 45</t>
  </si>
  <si>
    <t>Total Marks / 55</t>
  </si>
  <si>
    <t>Total Marks / 10</t>
  </si>
  <si>
    <t>Total Marks / 5</t>
  </si>
  <si>
    <t>TOTAL PERCENTAGE</t>
  </si>
  <si>
    <t>version 1.1 - May2021</t>
  </si>
  <si>
    <t>Individual Tech Evaluation Scoring</t>
  </si>
  <si>
    <t>Please provide information below (will be reflected to each Tenderer's Sheets)</t>
  </si>
  <si>
    <t>RFP Title :</t>
  </si>
  <si>
    <t>CBS INFRASTRUCTURE MAINTENANCE AND WARRANTY SUPPORT</t>
  </si>
  <si>
    <t>Evaluator :</t>
  </si>
  <si>
    <t>Mohd Faiz Ibrahim Sawal</t>
  </si>
  <si>
    <t>Eval.Date :</t>
  </si>
  <si>
    <t>RFP Issuance :</t>
  </si>
  <si>
    <t>RFP Closing :</t>
  </si>
  <si>
    <t>Summary Scoring Table</t>
  </si>
  <si>
    <t>Scoring below will be auto-populate from each Tenderer's sheet</t>
  </si>
  <si>
    <t>Change the Tenderers Company Name, add rows and sheets if necessary</t>
  </si>
  <si>
    <t>Evaluator</t>
  </si>
  <si>
    <t>TENDERER NO</t>
  </si>
  <si>
    <t>TENDERER'S COMPANY</t>
  </si>
  <si>
    <t>TOTAL SCORE (100%)</t>
  </si>
  <si>
    <t>TECHNICAL SCORE (90%)</t>
  </si>
  <si>
    <t>Rank</t>
  </si>
  <si>
    <t>3F RESOURCES SDN BHD</t>
  </si>
  <si>
    <t>FRONIX SDN BHD</t>
  </si>
  <si>
    <t>QUBE APPS SOLUTION SDN BHD</t>
  </si>
  <si>
    <t>RAFATECH SYSTEM SDN BHD</t>
  </si>
  <si>
    <t>Sections</t>
  </si>
  <si>
    <t>A - Company Profile (15%)</t>
  </si>
  <si>
    <t>B - Implementation Strategy (10%)</t>
  </si>
  <si>
    <t>C - Support (10%)</t>
  </si>
  <si>
    <t>D - Compliance (60%)</t>
  </si>
  <si>
    <t>E - 
Team (5%)</t>
  </si>
  <si>
    <t>Value Added 
(5 Marks)</t>
  </si>
  <si>
    <t>Remarks</t>
  </si>
  <si>
    <t>RFP EVALUATION</t>
  </si>
  <si>
    <t>Tenderer</t>
  </si>
  <si>
    <t xml:space="preserve">Date       </t>
  </si>
  <si>
    <t>A</t>
  </si>
  <si>
    <t>COMPANY PROFILE (15%)</t>
  </si>
  <si>
    <t>1</t>
  </si>
  <si>
    <t>1.1</t>
  </si>
  <si>
    <t>2</t>
  </si>
  <si>
    <t>1.2</t>
  </si>
  <si>
    <t xml:space="preserve">Qualifications </t>
  </si>
  <si>
    <t>1.3</t>
  </si>
  <si>
    <t>1.4</t>
  </si>
  <si>
    <t>1.5</t>
  </si>
  <si>
    <t>1.6</t>
  </si>
  <si>
    <t>Complete Submission</t>
  </si>
  <si>
    <t>B</t>
  </si>
  <si>
    <t>IMPLEMENTATION STRATEGY (10%)</t>
  </si>
  <si>
    <t>Scope of work (35 Marks)</t>
  </si>
  <si>
    <t>2.1</t>
  </si>
  <si>
    <t>2.2</t>
  </si>
  <si>
    <t>2.3</t>
  </si>
  <si>
    <t>2.4</t>
  </si>
  <si>
    <t>2.5</t>
  </si>
  <si>
    <t>2.6</t>
  </si>
  <si>
    <t>2.7</t>
  </si>
  <si>
    <t>C</t>
  </si>
  <si>
    <t>SUPPORT (10%)</t>
  </si>
  <si>
    <t>3</t>
  </si>
  <si>
    <t>Vendor Support (20 Marks)</t>
  </si>
  <si>
    <t>3.1</t>
  </si>
  <si>
    <t>3.2</t>
  </si>
  <si>
    <t>Online Support</t>
  </si>
  <si>
    <t>3.3</t>
  </si>
  <si>
    <t>3.4</t>
  </si>
  <si>
    <t>Support Service Offered</t>
  </si>
  <si>
    <t>D</t>
  </si>
  <si>
    <t>COMPLIANCE (60%)</t>
  </si>
  <si>
    <t>4</t>
  </si>
  <si>
    <t>Compliance Table (30 Marks)</t>
  </si>
  <si>
    <t>General Requirement</t>
  </si>
  <si>
    <t>Service Maintenance</t>
  </si>
  <si>
    <t>Software Maintenance</t>
  </si>
  <si>
    <t>Hardware Warranty</t>
  </si>
  <si>
    <t>Professional Services</t>
  </si>
  <si>
    <t>Other Requirement</t>
  </si>
  <si>
    <t>E</t>
  </si>
  <si>
    <t>TEAM (5%)</t>
  </si>
  <si>
    <t>5</t>
  </si>
  <si>
    <t>Resources (15 Marks)</t>
  </si>
  <si>
    <t>5.1</t>
  </si>
  <si>
    <t>5.2</t>
  </si>
  <si>
    <t>Local Support</t>
  </si>
  <si>
    <t>5.3</t>
  </si>
  <si>
    <t>TOTAL SCORE (%)</t>
  </si>
  <si>
    <t xml:space="preserve"> </t>
  </si>
  <si>
    <t>VALUE ADDED (IF ANY)</t>
  </si>
  <si>
    <t>Value Added</t>
  </si>
  <si>
    <t>Signature</t>
  </si>
  <si>
    <t>EVALUATION SHEET – SCORING GUIDELINES</t>
  </si>
  <si>
    <t>0- Lowest</t>
  </si>
  <si>
    <t>5 - Highest</t>
  </si>
  <si>
    <t>SCORE</t>
  </si>
  <si>
    <t>No</t>
  </si>
  <si>
    <t>Criteria</t>
  </si>
  <si>
    <t>Not Available / Not Applicable</t>
  </si>
  <si>
    <t>Not confident at all with the company background and financial strength</t>
  </si>
  <si>
    <t>Less confident based on company background and financial strength</t>
  </si>
  <si>
    <t>Acceptable on company's background and financial strength</t>
  </si>
  <si>
    <t>Confident on the company's strength and it is sendirian berhad company</t>
  </si>
  <si>
    <t>Confident on the company's strength and it is public listed company</t>
  </si>
  <si>
    <t>0% Bumiputera</t>
  </si>
  <si>
    <t>25% Bumiputera</t>
  </si>
  <si>
    <t>50% Bumiputera</t>
  </si>
  <si>
    <t>75% Bumiputera</t>
  </si>
  <si>
    <t>100% Bumiputera</t>
  </si>
  <si>
    <t>Qualifications
Company’s specialty  / expertise and past experience in implementing the same project.</t>
  </si>
  <si>
    <t xml:space="preserve">I don’t think they have the experience </t>
  </si>
  <si>
    <t>They might have the potential although their experience may not be direct</t>
  </si>
  <si>
    <t>They have some base to work on</t>
  </si>
  <si>
    <t>One of core business and have some reference sites</t>
  </si>
  <si>
    <t>Core business and already have number of reference sites</t>
  </si>
  <si>
    <t xml:space="preserve">Resources/Staff  Strength </t>
  </si>
  <si>
    <t xml:space="preserve">Very weak, 1 or none Experience and Certified Engineer </t>
  </si>
  <si>
    <t xml:space="preserve">So-so, have at least 1 Experience </t>
  </si>
  <si>
    <t xml:space="preserve">Acceptable, have at least 2 Experience </t>
  </si>
  <si>
    <t>Good, have at least 2 Experience and Certified Engineer</t>
  </si>
  <si>
    <t>Very Good, have 3 or more Experience and Certified Engineer</t>
  </si>
  <si>
    <t>Rely on subcontractors</t>
  </si>
  <si>
    <t>Half subcontractors, half staff</t>
  </si>
  <si>
    <t>No subscontractors</t>
  </si>
  <si>
    <t>1 or none reference sites</t>
  </si>
  <si>
    <t>2 reference sites</t>
  </si>
  <si>
    <t>3 reference sites</t>
  </si>
  <si>
    <t>4 reference sites</t>
  </si>
  <si>
    <t>5 or more reference sites</t>
  </si>
  <si>
    <t>Complete submission</t>
  </si>
  <si>
    <t>Not defined properly</t>
  </si>
  <si>
    <t>Defined a bit</t>
  </si>
  <si>
    <t>Defined partially</t>
  </si>
  <si>
    <t>Clearly defined but there some room of improvement</t>
  </si>
  <si>
    <t>Clearly defined and cover all area</t>
  </si>
  <si>
    <t>Does not follow any standard</t>
  </si>
  <si>
    <t>Minimum use of  standard practices</t>
  </si>
  <si>
    <t>Follows some of the standards (acceptable)</t>
  </si>
  <si>
    <t xml:space="preserve">Proper management but partially follow the standard </t>
  </si>
  <si>
    <t>Follow standard practices e.g. ITIL &amp; Prince2</t>
  </si>
  <si>
    <t xml:space="preserve"> Project Team Structure</t>
  </si>
  <si>
    <t xml:space="preserve">Do not provide any team structure </t>
  </si>
  <si>
    <t>Partially team structure provided (certified in related field)</t>
  </si>
  <si>
    <t>Acceptable Team Structure (certified in related field)</t>
  </si>
  <si>
    <t>Basic team structure with minimum staf allocated  (certified in related field)</t>
  </si>
  <si>
    <t>Complete Team Structure cover all angle (certified in related field)</t>
  </si>
  <si>
    <t>User Data Migration, Wipeout</t>
  </si>
  <si>
    <t xml:space="preserve"> Quality Assurance</t>
  </si>
  <si>
    <t>Clearly defined and follow certain standard. Execution until completion</t>
  </si>
  <si>
    <t xml:space="preserve">Timeline </t>
  </si>
  <si>
    <t>6 months</t>
  </si>
  <si>
    <t>5 months</t>
  </si>
  <si>
    <t>4 months</t>
  </si>
  <si>
    <t>3 months</t>
  </si>
  <si>
    <t>2 months</t>
  </si>
  <si>
    <t>Phases</t>
  </si>
  <si>
    <t>Clearly defined and no amendent required</t>
  </si>
  <si>
    <t>Milestones and deliverables</t>
  </si>
  <si>
    <t>Warranty period</t>
  </si>
  <si>
    <t>No support</t>
  </si>
  <si>
    <t>1 year onsite support NBD</t>
  </si>
  <si>
    <t>2 years online support</t>
  </si>
  <si>
    <t>2 years on site support NBD</t>
  </si>
  <si>
    <t>3 years online support</t>
  </si>
  <si>
    <t>3years on site support NBD</t>
  </si>
  <si>
    <t>Online support</t>
  </si>
  <si>
    <t>Don’t have system for tracking support</t>
  </si>
  <si>
    <t>Support by phone and no tracking</t>
  </si>
  <si>
    <t>Support by phone and do tracking using excel and not shared</t>
  </si>
  <si>
    <t>Support by phone and tracking using excel and share with us</t>
  </si>
  <si>
    <t>Support by system and has system tracking</t>
  </si>
  <si>
    <t>Support by system, has system tracking and we can view on website</t>
  </si>
  <si>
    <t>Response time</t>
  </si>
  <si>
    <t>Do not provide or not clearly stated on the training program</t>
  </si>
  <si>
    <t>Meet some of the requirements</t>
  </si>
  <si>
    <t xml:space="preserve">Meet half of the  requirements </t>
  </si>
  <si>
    <t>Almost meet requirements</t>
  </si>
  <si>
    <t xml:space="preserve">Meet requirements </t>
  </si>
  <si>
    <t>Refer to Technical Compliance Document</t>
  </si>
  <si>
    <t>1 or less resources</t>
  </si>
  <si>
    <t>2 resources</t>
  </si>
  <si>
    <t>3 resources</t>
  </si>
  <si>
    <t>4 resources</t>
  </si>
  <si>
    <t>5 or more resources</t>
  </si>
  <si>
    <t>No local support</t>
  </si>
  <si>
    <t>Local support but dependant on other team</t>
  </si>
  <si>
    <t>Local support, (normal staff)</t>
  </si>
  <si>
    <t>Half local support, (engineer and normal staff)</t>
  </si>
  <si>
    <t>All local support, (all normal staff)</t>
  </si>
  <si>
    <t>All local support, (engineer and normal staff)</t>
  </si>
  <si>
    <t>Not provided</t>
  </si>
  <si>
    <t>Half summary provided</t>
  </si>
  <si>
    <t>All summary provided</t>
  </si>
  <si>
    <t>Half provided with details</t>
  </si>
  <si>
    <t>More than half provided with details</t>
  </si>
  <si>
    <t>All provided with details</t>
  </si>
  <si>
    <t>1 or less added values</t>
  </si>
  <si>
    <t>2 added values</t>
  </si>
  <si>
    <t>3 added values</t>
  </si>
  <si>
    <t>4 added values</t>
  </si>
  <si>
    <t>5 or more added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</si>
</sst>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[$-F800]dddd\,\ mmmm\ dd\,\ yyyy"/>
  </numFmts>
  <fonts count="2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i/>
      <sz val="11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b/>
      <sz val="1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BB7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49" fontId="2" fillId="3" borderId="2" xfId="0" applyNumberFormat="1" applyFont="1" applyFill="1" applyBorder="1" applyAlignment="1">
      <alignment horizontal="right" vertical="top" wrapText="1"/>
    </xf>
    <xf numFmtId="49" fontId="2" fillId="3" borderId="2" xfId="0" applyNumberFormat="1" applyFont="1" applyFill="1" applyBorder="1" applyAlignment="1">
      <alignment vertical="top" wrapText="1"/>
    </xf>
    <xf numFmtId="0" fontId="0" fillId="3" borderId="3" xfId="0" applyFill="1" applyBorder="1"/>
    <xf numFmtId="49" fontId="0" fillId="0" borderId="2" xfId="0" applyNumberFormat="1" applyBorder="1" applyAlignment="1">
      <alignment horizontal="right" vertical="top" wrapText="1"/>
    </xf>
    <xf numFmtId="49" fontId="1" fillId="0" borderId="2" xfId="0" applyNumberFormat="1" applyFont="1" applyBorder="1" applyAlignment="1">
      <alignment vertical="top" wrapText="1"/>
    </xf>
    <xf numFmtId="0" fontId="0" fillId="0" borderId="3" xfId="0" applyBorder="1"/>
    <xf numFmtId="49" fontId="2" fillId="0" borderId="2" xfId="0" applyNumberFormat="1" applyFont="1" applyBorder="1" applyAlignment="1">
      <alignment horizontal="right" vertical="top" wrapText="1"/>
    </xf>
    <xf numFmtId="49" fontId="2" fillId="3" borderId="2" xfId="0" applyNumberFormat="1" applyFont="1" applyFill="1" applyBorder="1" applyAlignment="1">
      <alignment horizontal="left" vertical="top" wrapText="1"/>
    </xf>
    <xf numFmtId="49" fontId="2" fillId="4" borderId="4" xfId="0" applyNumberFormat="1" applyFont="1" applyFill="1" applyBorder="1" applyAlignment="1">
      <alignment horizontal="center" vertical="top" wrapText="1"/>
    </xf>
    <xf numFmtId="0" fontId="0" fillId="4" borderId="5" xfId="0" applyFill="1" applyBorder="1"/>
    <xf numFmtId="49" fontId="3" fillId="0" borderId="2" xfId="0" applyNumberFormat="1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5" fillId="0" borderId="0" xfId="0" applyFont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49" fontId="2" fillId="5" borderId="8" xfId="0" applyNumberFormat="1" applyFont="1" applyFill="1" applyBorder="1" applyAlignment="1">
      <alignment horizontal="right" vertical="center" wrapText="1"/>
    </xf>
    <xf numFmtId="49" fontId="2" fillId="5" borderId="8" xfId="0" applyNumberFormat="1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0" borderId="0" xfId="0" applyFont="1"/>
    <xf numFmtId="164" fontId="0" fillId="0" borderId="10" xfId="0" applyNumberFormat="1" applyBorder="1" applyAlignment="1">
      <alignment horizontal="center"/>
    </xf>
    <xf numFmtId="0" fontId="0" fillId="0" borderId="3" xfId="0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6" borderId="0" xfId="0" applyFont="1" applyFill="1" applyAlignment="1">
      <alignment horizontal="center"/>
    </xf>
    <xf numFmtId="0" fontId="2" fillId="0" borderId="3" xfId="0" applyFont="1" applyBorder="1"/>
    <xf numFmtId="0" fontId="2" fillId="7" borderId="0" xfId="0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2" fontId="0" fillId="4" borderId="4" xfId="0" applyNumberFormat="1" applyFill="1" applyBorder="1" applyAlignment="1">
      <alignment horizontal="center"/>
    </xf>
    <xf numFmtId="0" fontId="2" fillId="0" borderId="12" xfId="0" applyFont="1" applyBorder="1" applyAlignment="1">
      <alignment vertical="top" wrapText="1"/>
    </xf>
    <xf numFmtId="49" fontId="2" fillId="5" borderId="8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1" xfId="0" applyBorder="1"/>
    <xf numFmtId="0" fontId="2" fillId="0" borderId="0" xfId="0" applyFont="1" applyAlignment="1">
      <alignment horizontal="left" vertical="center"/>
    </xf>
    <xf numFmtId="49" fontId="1" fillId="0" borderId="11" xfId="0" applyNumberFormat="1" applyFont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5" borderId="11" xfId="0" applyFont="1" applyFill="1" applyBorder="1" applyAlignment="1">
      <alignment horizontal="center" vertical="center"/>
    </xf>
    <xf numFmtId="49" fontId="2" fillId="5" borderId="11" xfId="0" applyNumberFormat="1" applyFont="1" applyFill="1" applyBorder="1" applyAlignment="1">
      <alignment horizontal="left" vertical="center" wrapText="1"/>
    </xf>
    <xf numFmtId="49" fontId="2" fillId="5" borderId="11" xfId="0" applyNumberFormat="1" applyFont="1" applyFill="1" applyBorder="1" applyAlignment="1">
      <alignment vertical="center" wrapText="1"/>
    </xf>
    <xf numFmtId="0" fontId="10" fillId="0" borderId="11" xfId="0" applyFont="1" applyBorder="1" applyAlignment="1">
      <alignment horizontal="center"/>
    </xf>
    <xf numFmtId="49" fontId="2" fillId="0" borderId="11" xfId="0" applyNumberFormat="1" applyFont="1" applyBorder="1" applyAlignment="1">
      <alignment horizontal="right" vertical="top" wrapText="1"/>
    </xf>
    <xf numFmtId="49" fontId="11" fillId="0" borderId="11" xfId="0" applyNumberFormat="1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right" vertical="top" wrapText="1"/>
    </xf>
    <xf numFmtId="49" fontId="2" fillId="3" borderId="11" xfId="0" applyNumberFormat="1" applyFont="1" applyFill="1" applyBorder="1" applyAlignment="1">
      <alignment vertical="top" wrapText="1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/>
    <xf numFmtId="49" fontId="0" fillId="0" borderId="11" xfId="0" applyNumberFormat="1" applyBorder="1" applyAlignment="1">
      <alignment horizontal="right" vertical="top" wrapText="1"/>
    </xf>
    <xf numFmtId="0" fontId="1" fillId="0" borderId="11" xfId="0" quotePrefix="1" applyFont="1" applyBorder="1" applyAlignment="1">
      <alignment wrapText="1"/>
    </xf>
    <xf numFmtId="49" fontId="2" fillId="0" borderId="11" xfId="0" applyNumberFormat="1" applyFont="1" applyBorder="1" applyAlignment="1">
      <alignment vertical="top" wrapText="1"/>
    </xf>
    <xf numFmtId="0" fontId="2" fillId="6" borderId="11" xfId="0" applyFont="1" applyFill="1" applyBorder="1" applyAlignment="1">
      <alignment horizontal="center" vertical="center"/>
    </xf>
    <xf numFmtId="0" fontId="2" fillId="0" borderId="11" xfId="0" applyFont="1" applyBorder="1"/>
    <xf numFmtId="49" fontId="1" fillId="0" borderId="11" xfId="0" applyNumberFormat="1" applyFont="1" applyBorder="1" applyAlignment="1">
      <alignment horizontal="right" vertical="top" wrapText="1"/>
    </xf>
    <xf numFmtId="0" fontId="1" fillId="0" borderId="11" xfId="0" quotePrefix="1" applyFont="1" applyBorder="1" applyAlignment="1">
      <alignment vertical="top" wrapText="1"/>
    </xf>
    <xf numFmtId="0" fontId="1" fillId="0" borderId="11" xfId="0" applyFont="1" applyBorder="1"/>
    <xf numFmtId="0" fontId="1" fillId="0" borderId="11" xfId="0" quotePrefix="1" applyFont="1" applyBorder="1"/>
    <xf numFmtId="0" fontId="2" fillId="7" borderId="11" xfId="0" applyFont="1" applyFill="1" applyBorder="1" applyAlignment="1">
      <alignment horizontal="center" vertical="center"/>
    </xf>
    <xf numFmtId="2" fontId="2" fillId="8" borderId="11" xfId="0" applyNumberFormat="1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0" fontId="1" fillId="0" borderId="11" xfId="0" quotePrefix="1" applyFont="1" applyBorder="1" applyAlignment="1">
      <alignment horizontal="left" vertical="top" wrapText="1"/>
    </xf>
    <xf numFmtId="49" fontId="10" fillId="0" borderId="11" xfId="0" applyNumberFormat="1" applyFont="1" applyBorder="1" applyAlignment="1">
      <alignment vertical="top" wrapText="1"/>
    </xf>
    <xf numFmtId="49" fontId="2" fillId="3" borderId="11" xfId="0" applyNumberFormat="1" applyFont="1" applyFill="1" applyBorder="1" applyAlignment="1">
      <alignment horizontal="left" vertical="top" wrapText="1"/>
    </xf>
    <xf numFmtId="2" fontId="2" fillId="9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9" fillId="10" borderId="11" xfId="0" applyFont="1" applyFill="1" applyBorder="1"/>
    <xf numFmtId="49" fontId="12" fillId="10" borderId="11" xfId="0" applyNumberFormat="1" applyFont="1" applyFill="1" applyBorder="1" applyAlignment="1">
      <alignment horizontal="center" vertical="top" wrapText="1"/>
    </xf>
    <xf numFmtId="2" fontId="12" fillId="10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1" fillId="0" borderId="11" xfId="0" applyNumberFormat="1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9" fontId="1" fillId="0" borderId="11" xfId="0" applyNumberFormat="1" applyFont="1" applyBorder="1" applyAlignment="1">
      <alignment vertical="center" wrapText="1"/>
    </xf>
    <xf numFmtId="9" fontId="0" fillId="0" borderId="11" xfId="0" applyNumberForma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11" xfId="0" quotePrefix="1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5" fillId="0" borderId="11" xfId="0" applyFont="1" applyBorder="1" applyAlignment="1">
      <alignment vertical="center"/>
    </xf>
    <xf numFmtId="0" fontId="17" fillId="0" borderId="0" xfId="0" applyFont="1"/>
    <xf numFmtId="0" fontId="18" fillId="9" borderId="19" xfId="0" applyFont="1" applyFill="1" applyBorder="1"/>
    <xf numFmtId="0" fontId="19" fillId="9" borderId="20" xfId="0" applyFont="1" applyFill="1" applyBorder="1"/>
    <xf numFmtId="0" fontId="18" fillId="9" borderId="20" xfId="0" applyFont="1" applyFill="1" applyBorder="1"/>
    <xf numFmtId="0" fontId="18" fillId="0" borderId="20" xfId="0" applyFont="1" applyBorder="1"/>
    <xf numFmtId="0" fontId="18" fillId="9" borderId="21" xfId="0" applyFont="1" applyFill="1" applyBorder="1"/>
    <xf numFmtId="0" fontId="18" fillId="9" borderId="22" xfId="0" applyFont="1" applyFill="1" applyBorder="1"/>
    <xf numFmtId="0" fontId="18" fillId="9" borderId="0" xfId="0" applyFont="1" applyFill="1"/>
    <xf numFmtId="0" fontId="18" fillId="9" borderId="23" xfId="0" applyFont="1" applyFill="1" applyBorder="1"/>
    <xf numFmtId="0" fontId="20" fillId="11" borderId="11" xfId="0" applyFont="1" applyFill="1" applyBorder="1"/>
    <xf numFmtId="0" fontId="21" fillId="9" borderId="0" xfId="0" applyFont="1" applyFill="1"/>
    <xf numFmtId="15" fontId="1" fillId="0" borderId="0" xfId="0" applyNumberFormat="1" applyFont="1" applyAlignment="1">
      <alignment horizontal="left" vertical="center"/>
    </xf>
    <xf numFmtId="165" fontId="20" fillId="11" borderId="11" xfId="0" applyNumberFormat="1" applyFont="1" applyFill="1" applyBorder="1" applyAlignment="1">
      <alignment horizontal="left"/>
    </xf>
    <xf numFmtId="0" fontId="18" fillId="9" borderId="24" xfId="0" applyFont="1" applyFill="1" applyBorder="1"/>
    <xf numFmtId="15" fontId="2" fillId="9" borderId="10" xfId="0" applyNumberFormat="1" applyFont="1" applyFill="1" applyBorder="1" applyAlignment="1">
      <alignment horizontal="left" vertical="center"/>
    </xf>
    <xf numFmtId="165" fontId="18" fillId="9" borderId="10" xfId="0" applyNumberFormat="1" applyFont="1" applyFill="1" applyBorder="1" applyAlignment="1">
      <alignment horizontal="left"/>
    </xf>
    <xf numFmtId="0" fontId="18" fillId="9" borderId="10" xfId="0" applyFont="1" applyFill="1" applyBorder="1"/>
    <xf numFmtId="0" fontId="18" fillId="9" borderId="25" xfId="0" applyFont="1" applyFill="1" applyBorder="1"/>
    <xf numFmtId="15" fontId="19" fillId="9" borderId="0" xfId="0" applyNumberFormat="1" applyFont="1" applyFill="1" applyAlignment="1">
      <alignment horizontal="left" vertical="center"/>
    </xf>
    <xf numFmtId="165" fontId="18" fillId="9" borderId="0" xfId="0" applyNumberFormat="1" applyFont="1" applyFill="1" applyAlignment="1">
      <alignment horizontal="left"/>
    </xf>
    <xf numFmtId="15" fontId="18" fillId="9" borderId="0" xfId="0" applyNumberFormat="1" applyFont="1" applyFill="1" applyAlignment="1">
      <alignment horizontal="left" vertical="center"/>
    </xf>
    <xf numFmtId="0" fontId="0" fillId="9" borderId="0" xfId="0" applyFill="1"/>
    <xf numFmtId="0" fontId="22" fillId="9" borderId="11" xfId="0" applyFont="1" applyFill="1" applyBorder="1" applyAlignment="1">
      <alignment horizontal="center" vertical="center"/>
    </xf>
    <xf numFmtId="0" fontId="22" fillId="9" borderId="0" xfId="0" applyFont="1" applyFill="1"/>
    <xf numFmtId="0" fontId="0" fillId="9" borderId="23" xfId="0" applyFill="1" applyBorder="1"/>
    <xf numFmtId="0" fontId="1" fillId="9" borderId="22" xfId="0" applyFont="1" applyFill="1" applyBorder="1"/>
    <xf numFmtId="0" fontId="23" fillId="12" borderId="11" xfId="0" applyFont="1" applyFill="1" applyBorder="1" applyAlignment="1">
      <alignment horizontal="center" vertical="center" wrapText="1"/>
    </xf>
    <xf numFmtId="0" fontId="23" fillId="11" borderId="11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1" fillId="9" borderId="0" xfId="0" applyFont="1" applyFill="1"/>
    <xf numFmtId="0" fontId="1" fillId="9" borderId="23" xfId="0" applyFont="1" applyFill="1" applyBorder="1"/>
    <xf numFmtId="0" fontId="24" fillId="0" borderId="11" xfId="0" applyFont="1" applyBorder="1" applyAlignment="1">
      <alignment vertical="center"/>
    </xf>
    <xf numFmtId="2" fontId="14" fillId="0" borderId="11" xfId="0" applyNumberFormat="1" applyFont="1" applyBorder="1" applyAlignment="1">
      <alignment horizontal="center" vertical="center" wrapText="1"/>
    </xf>
    <xf numFmtId="2" fontId="25" fillId="9" borderId="0" xfId="0" applyNumberFormat="1" applyFont="1" applyFill="1" applyAlignment="1">
      <alignment horizontal="center" vertical="center" wrapText="1"/>
    </xf>
    <xf numFmtId="2" fontId="25" fillId="13" borderId="11" xfId="0" applyNumberFormat="1" applyFont="1" applyFill="1" applyBorder="1" applyAlignment="1">
      <alignment horizontal="center" vertical="center" wrapText="1"/>
    </xf>
    <xf numFmtId="1" fontId="25" fillId="13" borderId="11" xfId="0" applyNumberFormat="1" applyFont="1" applyFill="1" applyBorder="1" applyAlignment="1">
      <alignment horizontal="center" vertical="center" wrapText="1"/>
    </xf>
    <xf numFmtId="2" fontId="25" fillId="0" borderId="11" xfId="0" applyNumberFormat="1" applyFont="1" applyBorder="1" applyAlignment="1">
      <alignment horizontal="center" vertical="center" wrapText="1"/>
    </xf>
    <xf numFmtId="2" fontId="23" fillId="13" borderId="11" xfId="0" applyNumberFormat="1" applyFont="1" applyFill="1" applyBorder="1" applyAlignment="1">
      <alignment horizontal="center" vertical="center" wrapText="1"/>
    </xf>
    <xf numFmtId="2" fontId="25" fillId="0" borderId="11" xfId="0" quotePrefix="1" applyNumberFormat="1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8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0" xfId="0" applyFont="1"/>
    <xf numFmtId="2" fontId="14" fillId="0" borderId="0" xfId="0" applyNumberFormat="1" applyFont="1" applyAlignment="1">
      <alignment horizontal="center" vertical="center" wrapText="1"/>
    </xf>
    <xf numFmtId="2" fontId="25" fillId="0" borderId="0" xfId="0" applyNumberFormat="1" applyFont="1" applyAlignment="1">
      <alignment horizontal="center" vertical="center" wrapText="1"/>
    </xf>
    <xf numFmtId="1" fontId="25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10" fillId="0" borderId="26" xfId="0" applyFont="1" applyBorder="1" applyAlignment="1">
      <alignment horizontal="center"/>
    </xf>
    <xf numFmtId="9" fontId="1" fillId="0" borderId="11" xfId="0" quotePrefix="1" applyNumberFormat="1" applyFont="1" applyBorder="1" applyAlignment="1">
      <alignment horizontal="left" vertical="top" wrapText="1"/>
    </xf>
    <xf numFmtId="0" fontId="0" fillId="0" borderId="26" xfId="0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2" fillId="9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93"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mruColors>
      <color rgb="FFFFDBB7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75</xdr:row>
      <xdr:rowOff>76200</xdr:rowOff>
    </xdr:from>
    <xdr:to>
      <xdr:col>2</xdr:col>
      <xdr:colOff>714375</xdr:colOff>
      <xdr:row>76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0BF97-031D-0EB2-D3AF-B60479FED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13373100"/>
          <a:ext cx="295275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75</xdr:row>
      <xdr:rowOff>19050</xdr:rowOff>
    </xdr:from>
    <xdr:to>
      <xdr:col>2</xdr:col>
      <xdr:colOff>523875</xdr:colOff>
      <xdr:row>75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C7EE4-9888-ABE7-A607-3AEF5A14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13315950"/>
          <a:ext cx="314325" cy="26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75</xdr:row>
      <xdr:rowOff>9525</xdr:rowOff>
    </xdr:from>
    <xdr:to>
      <xdr:col>2</xdr:col>
      <xdr:colOff>704850</xdr:colOff>
      <xdr:row>75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80292-EB8A-01D1-38A1-8BC24830E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13306425"/>
          <a:ext cx="342900" cy="276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75</xdr:row>
      <xdr:rowOff>47625</xdr:rowOff>
    </xdr:from>
    <xdr:to>
      <xdr:col>2</xdr:col>
      <xdr:colOff>581025</xdr:colOff>
      <xdr:row>75</xdr:row>
      <xdr:rowOff>295275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37ACC28E-D521-6FC3-2526-E4A74D27A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13344525"/>
          <a:ext cx="295275" cy="247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mebank-my.sharepoint.com/personal/mohd_faiza_smebank_com_my/Documents/SME%20IT%20INFRA/Project%20SME/Project%202025/CBS%20Infrstructure%20Support%20and%20Maintenance/Evaluation/Technical%20Scoring%20Individual/Adhwa/Summary%20Scoring.xlsx" TargetMode="External"/><Relationship Id="rId2" Type="http://schemas.microsoft.com/office/2019/04/relationships/externalLinkLongPath" Target="/personal/mohd_faiza_smebank_com_my/Documents/SME%20IT%20INFRA/Project%20SME/Project%202025/CBS%20Infrstructure%20Support%20and%20Maintenance/Evaluation/Technical%20Scoring%20Individual/Adhwa/Summary%20Scoring.xlsx?C571FEC0" TargetMode="External"/><Relationship Id="rId1" Type="http://schemas.openxmlformats.org/officeDocument/2006/relationships/externalLinkPath" Target="file:///\\C571FEC0\Summary%20Scoring.xlsx" TargetMode="External"/><Relationship Id="rId4" Type="http://schemas.openxmlformats.org/officeDocument/2006/relationships/externalLinkPath" Target="../Adhwa/Summary%20Sco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SWMVzaGvUmQYncpm8gh_8raJtSZfJpGrCArx0aAfNCYpYmRiarhQLoQ44XF-gl8" itemId="01GZ6A7SFFTEOLGZTAZ5B2RR6M54GY43CD">
      <xxl21:absoluteUrl r:id="rId3"/>
      <xxl21:relativeUrl r:id="rId4"/>
    </xxl21:alternateUrls>
    <sheetNames>
      <sheetName val="Sheet1"/>
    </sheetNames>
    <sheetDataSet>
      <sheetData sheetId="0">
        <row r="8">
          <cell r="E8">
            <v>5</v>
          </cell>
          <cell r="G8">
            <v>5</v>
          </cell>
          <cell r="I8">
            <v>1</v>
          </cell>
          <cell r="K8">
            <v>5</v>
          </cell>
        </row>
        <row r="9">
          <cell r="E9">
            <v>5</v>
          </cell>
          <cell r="G9">
            <v>5</v>
          </cell>
          <cell r="I9">
            <v>0</v>
          </cell>
          <cell r="K9">
            <v>5</v>
          </cell>
        </row>
        <row r="10">
          <cell r="E10">
            <v>5</v>
          </cell>
          <cell r="G10">
            <v>5</v>
          </cell>
          <cell r="I10">
            <v>0</v>
          </cell>
          <cell r="K10">
            <v>5</v>
          </cell>
        </row>
        <row r="11">
          <cell r="E11">
            <v>5</v>
          </cell>
          <cell r="G11">
            <v>5</v>
          </cell>
          <cell r="I11">
            <v>1</v>
          </cell>
          <cell r="K11">
            <v>3</v>
          </cell>
        </row>
        <row r="12">
          <cell r="E12">
            <v>5</v>
          </cell>
          <cell r="G12">
            <v>5</v>
          </cell>
          <cell r="I12">
            <v>0</v>
          </cell>
          <cell r="K12">
            <v>5</v>
          </cell>
        </row>
        <row r="13">
          <cell r="E13">
            <v>3</v>
          </cell>
          <cell r="G13">
            <v>5</v>
          </cell>
          <cell r="I13">
            <v>3</v>
          </cell>
          <cell r="K1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opLeftCell="A16" workbookViewId="0">
      <selection activeCell="C54" sqref="C54"/>
    </sheetView>
  </sheetViews>
  <sheetFormatPr defaultRowHeight="12.75"/>
  <cols>
    <col min="2" max="2" width="18.5703125" bestFit="1" customWidth="1"/>
    <col min="3" max="3" width="41" bestFit="1" customWidth="1"/>
    <col min="4" max="4" width="6.28515625" bestFit="1" customWidth="1"/>
    <col min="5" max="5" width="51.5703125" bestFit="1" customWidth="1"/>
  </cols>
  <sheetData>
    <row r="1" spans="1:5" ht="13.15">
      <c r="A1" s="159" t="s">
        <v>0</v>
      </c>
      <c r="B1" s="159"/>
      <c r="C1" s="159"/>
      <c r="D1" s="159"/>
      <c r="E1" s="159"/>
    </row>
    <row r="3" spans="1:5" ht="13.15">
      <c r="A3" s="2" t="s">
        <v>1</v>
      </c>
      <c r="B3" s="2">
        <v>1</v>
      </c>
      <c r="C3" s="1" t="s">
        <v>2</v>
      </c>
      <c r="D3" s="3"/>
    </row>
    <row r="4" spans="1:5" ht="13.15">
      <c r="A4" s="2"/>
      <c r="B4" s="2"/>
      <c r="C4" s="1"/>
      <c r="D4" s="3"/>
    </row>
    <row r="5" spans="1:5" ht="15">
      <c r="A5" s="20" t="s">
        <v>3</v>
      </c>
      <c r="B5" s="31"/>
      <c r="C5" s="1"/>
      <c r="D5" s="3"/>
    </row>
    <row r="6" spans="1:5" ht="15">
      <c r="A6" s="6"/>
      <c r="C6" s="1"/>
      <c r="D6" s="3"/>
    </row>
    <row r="7" spans="1:5" ht="15">
      <c r="A7" s="20" t="s">
        <v>4</v>
      </c>
      <c r="B7" s="30"/>
      <c r="C7" s="1"/>
      <c r="D7" s="3"/>
    </row>
    <row r="8" spans="1:5" ht="13.15">
      <c r="A8" s="2"/>
      <c r="B8" s="2"/>
      <c r="C8" s="1"/>
      <c r="D8" s="3"/>
    </row>
    <row r="9" spans="1:5" ht="13.15">
      <c r="A9" s="2"/>
      <c r="B9" s="2"/>
      <c r="C9" s="4" t="s">
        <v>5</v>
      </c>
      <c r="D9" s="3"/>
    </row>
    <row r="10" spans="1:5" ht="13.15">
      <c r="A10" s="2"/>
      <c r="B10" s="2"/>
      <c r="C10" s="1" t="s">
        <v>6</v>
      </c>
      <c r="D10" s="3"/>
    </row>
    <row r="11" spans="1:5" ht="13.5" thickBot="1">
      <c r="A11" s="2"/>
      <c r="B11" s="2"/>
      <c r="C11" s="1"/>
      <c r="D11" s="3"/>
    </row>
    <row r="12" spans="1:5" ht="13.15">
      <c r="A12" s="25" t="s">
        <v>7</v>
      </c>
      <c r="B12" s="26" t="s">
        <v>8</v>
      </c>
      <c r="C12" s="27"/>
      <c r="D12" s="28" t="s">
        <v>9</v>
      </c>
      <c r="E12" s="29" t="s">
        <v>10</v>
      </c>
    </row>
    <row r="13" spans="1:5" ht="13.15">
      <c r="A13" s="7"/>
      <c r="B13" s="14"/>
      <c r="C13" s="18" t="s">
        <v>11</v>
      </c>
      <c r="D13" s="22"/>
      <c r="E13" s="13"/>
    </row>
    <row r="14" spans="1:5" ht="13.15">
      <c r="A14" s="7">
        <v>1</v>
      </c>
      <c r="B14" s="8" t="s">
        <v>12</v>
      </c>
      <c r="C14" s="9" t="s">
        <v>13</v>
      </c>
      <c r="D14" s="23"/>
      <c r="E14" s="10"/>
    </row>
    <row r="15" spans="1:5">
      <c r="A15" s="7"/>
      <c r="B15" s="11"/>
      <c r="C15" s="12" t="s">
        <v>14</v>
      </c>
      <c r="D15" s="22"/>
      <c r="E15" s="13"/>
    </row>
    <row r="16" spans="1:5" ht="13.15">
      <c r="A16" s="7"/>
      <c r="B16" s="8" t="s">
        <v>15</v>
      </c>
      <c r="C16" s="9" t="s">
        <v>16</v>
      </c>
      <c r="D16" s="23"/>
      <c r="E16" s="10"/>
    </row>
    <row r="17" spans="1:5">
      <c r="A17" s="7">
        <v>1</v>
      </c>
      <c r="B17" s="11" t="s">
        <v>17</v>
      </c>
      <c r="C17" s="12" t="s">
        <v>18</v>
      </c>
      <c r="D17" s="22"/>
      <c r="E17" s="13"/>
    </row>
    <row r="18" spans="1:5">
      <c r="A18" s="7">
        <v>2</v>
      </c>
      <c r="B18" s="11" t="s">
        <v>19</v>
      </c>
      <c r="C18" s="12" t="s">
        <v>20</v>
      </c>
      <c r="D18" s="22"/>
      <c r="E18" s="13"/>
    </row>
    <row r="19" spans="1:5">
      <c r="A19" s="7">
        <v>3</v>
      </c>
      <c r="B19" s="11" t="s">
        <v>21</v>
      </c>
      <c r="C19" s="12" t="s">
        <v>22</v>
      </c>
      <c r="D19" s="22"/>
      <c r="E19" s="13"/>
    </row>
    <row r="20" spans="1:5">
      <c r="A20" s="7">
        <v>4</v>
      </c>
      <c r="B20" s="11" t="s">
        <v>23</v>
      </c>
      <c r="C20" s="12" t="s">
        <v>24</v>
      </c>
      <c r="D20" s="22"/>
      <c r="E20" s="13"/>
    </row>
    <row r="21" spans="1:5">
      <c r="A21" s="7">
        <v>5</v>
      </c>
      <c r="B21" s="11" t="s">
        <v>25</v>
      </c>
      <c r="C21" s="12" t="s">
        <v>26</v>
      </c>
      <c r="D21" s="22"/>
      <c r="E21" s="13"/>
    </row>
    <row r="22" spans="1:5">
      <c r="A22" s="7">
        <v>6</v>
      </c>
      <c r="B22" s="11" t="s">
        <v>27</v>
      </c>
      <c r="C22" s="12" t="s">
        <v>28</v>
      </c>
      <c r="D22" s="22"/>
      <c r="E22" s="13"/>
    </row>
    <row r="23" spans="1:5" ht="13.15">
      <c r="A23" s="7"/>
      <c r="B23" s="11"/>
      <c r="C23" s="18" t="s">
        <v>29</v>
      </c>
      <c r="D23" s="22"/>
      <c r="E23" s="13"/>
    </row>
    <row r="24" spans="1:5" ht="13.15">
      <c r="A24" s="7"/>
      <c r="B24" s="8" t="s">
        <v>30</v>
      </c>
      <c r="C24" s="9" t="s">
        <v>31</v>
      </c>
      <c r="D24" s="23"/>
      <c r="E24" s="10"/>
    </row>
    <row r="25" spans="1:5" ht="13.15">
      <c r="A25" s="7">
        <v>1</v>
      </c>
      <c r="B25" s="14" t="s">
        <v>32</v>
      </c>
      <c r="C25" s="12" t="s">
        <v>33</v>
      </c>
      <c r="D25" s="22"/>
      <c r="E25" s="13"/>
    </row>
    <row r="26" spans="1:5" ht="13.15">
      <c r="A26" s="7">
        <v>2</v>
      </c>
      <c r="B26" s="14" t="s">
        <v>34</v>
      </c>
      <c r="C26" s="12" t="s">
        <v>35</v>
      </c>
      <c r="D26" s="22"/>
      <c r="E26" s="13"/>
    </row>
    <row r="27" spans="1:5" ht="13.15">
      <c r="A27" s="7">
        <v>3</v>
      </c>
      <c r="B27" s="14" t="s">
        <v>36</v>
      </c>
      <c r="C27" s="12" t="s">
        <v>37</v>
      </c>
      <c r="D27" s="22"/>
      <c r="E27" s="13"/>
    </row>
    <row r="28" spans="1:5" ht="13.15">
      <c r="A28" s="7"/>
      <c r="B28" s="8" t="s">
        <v>38</v>
      </c>
      <c r="C28" s="9" t="s">
        <v>39</v>
      </c>
      <c r="D28" s="23"/>
      <c r="E28" s="10"/>
    </row>
    <row r="29" spans="1:5">
      <c r="A29" s="7">
        <v>1</v>
      </c>
      <c r="B29" s="11" t="s">
        <v>40</v>
      </c>
      <c r="C29" s="12" t="s">
        <v>41</v>
      </c>
      <c r="D29" s="22"/>
      <c r="E29" s="13"/>
    </row>
    <row r="30" spans="1:5">
      <c r="A30" s="7">
        <v>2</v>
      </c>
      <c r="B30" s="11" t="s">
        <v>42</v>
      </c>
      <c r="C30" s="12" t="s">
        <v>43</v>
      </c>
      <c r="D30" s="22"/>
      <c r="E30" s="13"/>
    </row>
    <row r="31" spans="1:5" ht="13.15">
      <c r="A31" s="7"/>
      <c r="B31" s="8" t="s">
        <v>44</v>
      </c>
      <c r="C31" s="9" t="s">
        <v>45</v>
      </c>
      <c r="D31" s="23"/>
      <c r="E31" s="10"/>
    </row>
    <row r="32" spans="1:5">
      <c r="A32" s="7">
        <v>1</v>
      </c>
      <c r="B32" s="11" t="s">
        <v>46</v>
      </c>
      <c r="C32" s="12" t="s">
        <v>47</v>
      </c>
      <c r="D32" s="22"/>
      <c r="E32" s="13"/>
    </row>
    <row r="33" spans="1:5">
      <c r="A33" s="7">
        <v>2</v>
      </c>
      <c r="B33" s="11" t="s">
        <v>48</v>
      </c>
      <c r="C33" s="12" t="s">
        <v>49</v>
      </c>
      <c r="D33" s="22"/>
      <c r="E33" s="13"/>
    </row>
    <row r="34" spans="1:5">
      <c r="A34" s="7">
        <v>3</v>
      </c>
      <c r="B34" s="11" t="s">
        <v>50</v>
      </c>
      <c r="C34" s="12" t="s">
        <v>51</v>
      </c>
      <c r="D34" s="22"/>
      <c r="E34" s="13"/>
    </row>
    <row r="35" spans="1:5">
      <c r="A35" s="7">
        <v>4</v>
      </c>
      <c r="B35" s="11" t="s">
        <v>52</v>
      </c>
      <c r="C35" s="12" t="s">
        <v>53</v>
      </c>
      <c r="D35" s="22"/>
      <c r="E35" s="13"/>
    </row>
    <row r="36" spans="1:5" ht="13.15">
      <c r="A36" s="7"/>
      <c r="B36" s="11"/>
      <c r="C36" s="18" t="s">
        <v>54</v>
      </c>
      <c r="D36" s="22"/>
      <c r="E36" s="13"/>
    </row>
    <row r="37" spans="1:5" ht="13.15">
      <c r="A37" s="7"/>
      <c r="B37" s="8" t="s">
        <v>55</v>
      </c>
      <c r="C37" s="9" t="s">
        <v>56</v>
      </c>
      <c r="D37" s="23"/>
      <c r="E37" s="10"/>
    </row>
    <row r="38" spans="1:5" ht="25.5">
      <c r="A38" s="7">
        <v>1</v>
      </c>
      <c r="B38" s="11" t="s">
        <v>57</v>
      </c>
      <c r="C38" s="12" t="s">
        <v>58</v>
      </c>
      <c r="D38" s="22"/>
      <c r="E38" s="13"/>
    </row>
    <row r="39" spans="1:5">
      <c r="A39" s="7">
        <v>2</v>
      </c>
      <c r="B39" s="11" t="s">
        <v>59</v>
      </c>
      <c r="C39" s="12" t="s">
        <v>60</v>
      </c>
      <c r="D39" s="22"/>
      <c r="E39" s="13"/>
    </row>
    <row r="40" spans="1:5">
      <c r="A40" s="7">
        <v>3</v>
      </c>
      <c r="B40" s="11" t="s">
        <v>61</v>
      </c>
      <c r="C40" s="12" t="s">
        <v>62</v>
      </c>
      <c r="D40" s="22"/>
      <c r="E40" s="13"/>
    </row>
    <row r="41" spans="1:5">
      <c r="A41" s="7">
        <v>4</v>
      </c>
      <c r="B41" s="11" t="s">
        <v>63</v>
      </c>
      <c r="C41" s="12" t="s">
        <v>64</v>
      </c>
      <c r="D41" s="22"/>
      <c r="E41" s="13"/>
    </row>
    <row r="42" spans="1:5">
      <c r="A42" s="7">
        <v>5</v>
      </c>
      <c r="B42" s="11" t="s">
        <v>65</v>
      </c>
      <c r="C42" s="12" t="s">
        <v>66</v>
      </c>
      <c r="D42" s="22"/>
      <c r="E42" s="13"/>
    </row>
    <row r="43" spans="1:5">
      <c r="A43" s="7">
        <v>6</v>
      </c>
      <c r="B43" s="11" t="s">
        <v>67</v>
      </c>
      <c r="C43" s="12" t="s">
        <v>68</v>
      </c>
      <c r="D43" s="22"/>
      <c r="E43" s="13"/>
    </row>
    <row r="44" spans="1:5">
      <c r="A44" s="7">
        <v>7</v>
      </c>
      <c r="B44" s="11" t="s">
        <v>69</v>
      </c>
      <c r="C44" s="12" t="s">
        <v>70</v>
      </c>
      <c r="D44" s="22"/>
      <c r="E44" s="13"/>
    </row>
    <row r="45" spans="1:5" ht="13.15">
      <c r="A45" s="7"/>
      <c r="B45" s="8" t="s">
        <v>71</v>
      </c>
      <c r="C45" s="15" t="s">
        <v>72</v>
      </c>
      <c r="D45" s="23"/>
      <c r="E45" s="10"/>
    </row>
    <row r="46" spans="1:5">
      <c r="A46" s="7">
        <v>1</v>
      </c>
      <c r="B46" s="11" t="s">
        <v>73</v>
      </c>
      <c r="C46" s="12" t="s">
        <v>74</v>
      </c>
      <c r="D46" s="22"/>
      <c r="E46" s="13"/>
    </row>
    <row r="47" spans="1:5">
      <c r="A47" s="7">
        <v>2</v>
      </c>
      <c r="B47" s="11" t="s">
        <v>75</v>
      </c>
      <c r="C47" s="12" t="s">
        <v>76</v>
      </c>
      <c r="D47" s="22"/>
      <c r="E47" s="13"/>
    </row>
    <row r="48" spans="1:5">
      <c r="A48" s="7">
        <v>3</v>
      </c>
      <c r="B48" s="11" t="s">
        <v>77</v>
      </c>
      <c r="C48" s="12" t="s">
        <v>78</v>
      </c>
      <c r="D48" s="22"/>
      <c r="E48" s="13"/>
    </row>
    <row r="49" spans="1:5">
      <c r="A49" s="7">
        <v>4</v>
      </c>
      <c r="B49" s="11" t="s">
        <v>79</v>
      </c>
      <c r="C49" s="12" t="s">
        <v>80</v>
      </c>
      <c r="D49" s="22"/>
      <c r="E49" s="13"/>
    </row>
    <row r="50" spans="1:5" ht="13.15">
      <c r="A50" s="7"/>
      <c r="B50" s="11"/>
      <c r="C50" s="18" t="s">
        <v>81</v>
      </c>
      <c r="D50" s="22"/>
      <c r="E50" s="13"/>
    </row>
    <row r="51" spans="1:5" ht="13.15">
      <c r="A51" s="7"/>
      <c r="B51" s="8" t="s">
        <v>82</v>
      </c>
      <c r="C51" s="9" t="s">
        <v>83</v>
      </c>
      <c r="D51" s="23"/>
      <c r="E51" s="10"/>
    </row>
    <row r="52" spans="1:5">
      <c r="A52" s="7">
        <v>1</v>
      </c>
      <c r="B52" s="11" t="s">
        <v>84</v>
      </c>
      <c r="C52" s="12" t="s">
        <v>85</v>
      </c>
      <c r="D52" s="22"/>
      <c r="E52" s="13"/>
    </row>
    <row r="53" spans="1:5">
      <c r="A53" s="7">
        <v>2</v>
      </c>
      <c r="B53" s="11" t="s">
        <v>86</v>
      </c>
      <c r="C53" s="12" t="s">
        <v>87</v>
      </c>
      <c r="D53" s="22"/>
      <c r="E53" s="13"/>
    </row>
    <row r="54" spans="1:5" ht="13.15">
      <c r="A54" s="7"/>
      <c r="B54" s="11"/>
      <c r="C54" s="18" t="s">
        <v>88</v>
      </c>
      <c r="D54" s="22"/>
      <c r="E54" s="13"/>
    </row>
    <row r="55" spans="1:5" ht="13.15">
      <c r="A55" s="7"/>
      <c r="B55" s="8" t="s">
        <v>89</v>
      </c>
      <c r="C55" s="9" t="s">
        <v>90</v>
      </c>
      <c r="D55" s="23"/>
      <c r="E55" s="10"/>
    </row>
    <row r="56" spans="1:5">
      <c r="A56" s="7">
        <v>1</v>
      </c>
      <c r="B56" s="11" t="s">
        <v>91</v>
      </c>
      <c r="C56" s="12" t="s">
        <v>92</v>
      </c>
      <c r="D56" s="22"/>
      <c r="E56" s="13"/>
    </row>
    <row r="57" spans="1:5">
      <c r="A57" s="7"/>
      <c r="B57" s="11"/>
      <c r="C57" s="12"/>
      <c r="D57" s="22"/>
      <c r="E57" s="13"/>
    </row>
    <row r="58" spans="1:5" ht="13.5" thickBot="1">
      <c r="A58" s="19"/>
      <c r="B58" s="21"/>
      <c r="C58" s="16" t="s">
        <v>93</v>
      </c>
      <c r="D58" s="24"/>
      <c r="E58" s="17"/>
    </row>
    <row r="62" spans="1:5" ht="13.15">
      <c r="A62" s="1" t="s">
        <v>94</v>
      </c>
      <c r="B62" s="1"/>
      <c r="C62" s="1"/>
      <c r="D62" s="3"/>
    </row>
    <row r="63" spans="1:5" ht="13.15">
      <c r="A63" s="1" t="s">
        <v>95</v>
      </c>
      <c r="B63" s="1"/>
      <c r="C63" s="1" t="s">
        <v>96</v>
      </c>
      <c r="D63" s="3"/>
    </row>
    <row r="64" spans="1:5" ht="13.15">
      <c r="A64" s="1"/>
      <c r="B64" s="1"/>
      <c r="C64" s="1"/>
    </row>
    <row r="65" spans="1:3" ht="13.15">
      <c r="A65" s="1" t="s">
        <v>97</v>
      </c>
      <c r="B65" s="1"/>
      <c r="C65" s="1"/>
    </row>
  </sheetData>
  <mergeCells count="1">
    <mergeCell ref="A1:E1"/>
  </mergeCells>
  <phoneticPr fontId="8" type="noConversion"/>
  <conditionalFormatting sqref="D15 D17:D22 D25:D27 D29:D30 D32:D35 D38:D44 D46:D49 D52:D53 D56">
    <cfRule type="cellIs" dxfId="92" priority="1" stopIfTrue="1" operator="equal">
      <formula>0</formula>
    </cfRule>
    <cfRule type="cellIs" dxfId="91" priority="2" stopIfTrue="1" operator="between">
      <formula>1</formula>
      <formula>5</formula>
    </cfRule>
    <cfRule type="cellIs" dxfId="90" priority="3" stopIfTrue="1" operator="greaterThan">
      <formula>5</formula>
    </cfRule>
  </conditionalFormatting>
  <dataValidations count="1">
    <dataValidation type="list" allowBlank="1" showInputMessage="1" showErrorMessage="1" promptTitle="Score" prompt="0         Not Available_x000a_1         Very Weak_x000a_2         So-so_x000a_3         Acceptable_x000a_4         Good_x000a_5         Very Good" sqref="D56 D52:D53 D46:D49 D17:D22 D25:D27 D29:D30 D32:D35 D38:D44 D15" xr:uid="{00000000-0002-0000-0000-000000000000}">
      <formula1>"0,1,2,3,4,5"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topLeftCell="A15" workbookViewId="0">
      <selection activeCell="E29" sqref="E29"/>
    </sheetView>
  </sheetViews>
  <sheetFormatPr defaultRowHeight="12.75"/>
  <cols>
    <col min="2" max="2" width="18.5703125" bestFit="1" customWidth="1"/>
    <col min="3" max="3" width="41" bestFit="1" customWidth="1"/>
    <col min="4" max="4" width="6.28515625" bestFit="1" customWidth="1"/>
    <col min="5" max="5" width="51.5703125" bestFit="1" customWidth="1"/>
  </cols>
  <sheetData>
    <row r="1" spans="1:5" ht="13.15">
      <c r="A1" s="159" t="s">
        <v>0</v>
      </c>
      <c r="B1" s="159"/>
      <c r="C1" s="159"/>
      <c r="D1" s="159"/>
      <c r="E1" s="159"/>
    </row>
    <row r="3" spans="1:5" ht="13.15">
      <c r="A3" s="2" t="s">
        <v>1</v>
      </c>
      <c r="B3" s="2">
        <v>1</v>
      </c>
      <c r="C3" s="1" t="s">
        <v>98</v>
      </c>
      <c r="D3" s="3"/>
    </row>
    <row r="4" spans="1:5" ht="13.15">
      <c r="A4" s="2"/>
      <c r="B4" s="2"/>
      <c r="C4" s="1"/>
      <c r="D4" s="3"/>
    </row>
    <row r="5" spans="1:5" ht="15">
      <c r="A5" s="20" t="s">
        <v>3</v>
      </c>
      <c r="B5" s="31"/>
      <c r="C5" s="1"/>
      <c r="D5" s="3"/>
    </row>
    <row r="6" spans="1:5" ht="15">
      <c r="A6" s="6"/>
      <c r="C6" s="1"/>
      <c r="D6" s="3"/>
    </row>
    <row r="7" spans="1:5" ht="15">
      <c r="A7" s="20" t="s">
        <v>4</v>
      </c>
      <c r="B7" s="30"/>
      <c r="C7" s="1"/>
      <c r="D7" s="3"/>
    </row>
    <row r="8" spans="1:5" ht="13.15">
      <c r="A8" s="2"/>
      <c r="B8" s="2"/>
      <c r="C8" s="1"/>
      <c r="D8" s="3"/>
    </row>
    <row r="9" spans="1:5" ht="13.15">
      <c r="A9" s="2"/>
      <c r="B9" s="2"/>
      <c r="C9" s="4" t="s">
        <v>5</v>
      </c>
      <c r="D9" s="3"/>
    </row>
    <row r="10" spans="1:5" ht="13.15">
      <c r="A10" s="2"/>
      <c r="B10" s="2"/>
      <c r="C10" s="1" t="s">
        <v>6</v>
      </c>
      <c r="D10" s="3"/>
    </row>
    <row r="11" spans="1:5" ht="13.5" thickBot="1">
      <c r="A11" s="2"/>
      <c r="B11" s="2"/>
      <c r="C11" s="1"/>
      <c r="D11" s="3"/>
    </row>
    <row r="12" spans="1:5" ht="13.15">
      <c r="A12" s="25" t="s">
        <v>7</v>
      </c>
      <c r="B12" s="26" t="s">
        <v>8</v>
      </c>
      <c r="C12" s="27"/>
      <c r="D12" s="28" t="s">
        <v>9</v>
      </c>
      <c r="E12" s="29" t="s">
        <v>10</v>
      </c>
    </row>
    <row r="13" spans="1:5" ht="13.15">
      <c r="A13" s="7"/>
      <c r="B13" s="14"/>
      <c r="C13" s="18" t="s">
        <v>11</v>
      </c>
      <c r="D13" s="22"/>
      <c r="E13" s="13"/>
    </row>
    <row r="14" spans="1:5" ht="13.15">
      <c r="A14" s="7">
        <v>1</v>
      </c>
      <c r="B14" s="8" t="s">
        <v>12</v>
      </c>
      <c r="C14" s="9" t="s">
        <v>13</v>
      </c>
      <c r="D14" s="23"/>
      <c r="E14" s="10"/>
    </row>
    <row r="15" spans="1:5">
      <c r="A15" s="7"/>
      <c r="B15" s="11"/>
      <c r="C15" s="12" t="s">
        <v>14</v>
      </c>
      <c r="D15" s="22"/>
      <c r="E15" s="13"/>
    </row>
    <row r="16" spans="1:5" ht="13.15">
      <c r="A16" s="7"/>
      <c r="B16" s="8" t="s">
        <v>15</v>
      </c>
      <c r="C16" s="9" t="s">
        <v>99</v>
      </c>
      <c r="D16" s="23"/>
      <c r="E16" s="10"/>
    </row>
    <row r="17" spans="1:5">
      <c r="A17" s="7">
        <v>1</v>
      </c>
      <c r="B17" s="11" t="s">
        <v>17</v>
      </c>
      <c r="C17" s="12" t="s">
        <v>18</v>
      </c>
      <c r="D17" s="22"/>
      <c r="E17" s="13"/>
    </row>
    <row r="18" spans="1:5">
      <c r="A18" s="7">
        <v>2</v>
      </c>
      <c r="B18" s="11" t="s">
        <v>19</v>
      </c>
      <c r="C18" s="12" t="s">
        <v>20</v>
      </c>
      <c r="D18" s="22"/>
      <c r="E18" s="13"/>
    </row>
    <row r="19" spans="1:5">
      <c r="A19" s="7">
        <v>3</v>
      </c>
      <c r="B19" s="11" t="s">
        <v>21</v>
      </c>
      <c r="C19" s="12" t="s">
        <v>22</v>
      </c>
      <c r="D19" s="22"/>
      <c r="E19" s="13"/>
    </row>
    <row r="20" spans="1:5">
      <c r="A20" s="7">
        <v>4</v>
      </c>
      <c r="B20" s="11" t="s">
        <v>23</v>
      </c>
      <c r="C20" s="12" t="s">
        <v>24</v>
      </c>
      <c r="D20" s="22"/>
      <c r="E20" s="13"/>
    </row>
    <row r="21" spans="1:5">
      <c r="A21" s="7">
        <v>5</v>
      </c>
      <c r="B21" s="11" t="s">
        <v>25</v>
      </c>
      <c r="C21" s="12" t="s">
        <v>26</v>
      </c>
      <c r="D21" s="22"/>
      <c r="E21" s="13"/>
    </row>
    <row r="22" spans="1:5">
      <c r="A22" s="7">
        <v>6</v>
      </c>
      <c r="B22" s="11" t="s">
        <v>27</v>
      </c>
      <c r="C22" s="12" t="s">
        <v>28</v>
      </c>
      <c r="D22" s="22"/>
      <c r="E22" s="13"/>
    </row>
    <row r="23" spans="1:5" ht="13.15">
      <c r="A23" s="7"/>
      <c r="B23" s="11"/>
      <c r="C23" s="18" t="s">
        <v>29</v>
      </c>
      <c r="D23" s="22"/>
      <c r="E23" s="13"/>
    </row>
    <row r="24" spans="1:5" ht="13.15">
      <c r="A24" s="7"/>
      <c r="B24" s="8" t="s">
        <v>30</v>
      </c>
      <c r="C24" s="9" t="s">
        <v>100</v>
      </c>
      <c r="D24" s="23"/>
      <c r="E24" s="10"/>
    </row>
    <row r="25" spans="1:5" ht="13.15">
      <c r="A25" s="7">
        <v>1</v>
      </c>
      <c r="B25" s="14" t="s">
        <v>32</v>
      </c>
      <c r="C25" s="12" t="s">
        <v>33</v>
      </c>
      <c r="D25" s="22"/>
      <c r="E25" s="13"/>
    </row>
    <row r="26" spans="1:5" ht="13.15">
      <c r="A26" s="7">
        <v>2</v>
      </c>
      <c r="B26" s="14" t="s">
        <v>34</v>
      </c>
      <c r="C26" s="12" t="s">
        <v>35</v>
      </c>
      <c r="D26" s="22"/>
      <c r="E26" s="13"/>
    </row>
    <row r="27" spans="1:5" ht="13.15">
      <c r="A27" s="7">
        <v>3</v>
      </c>
      <c r="B27" s="14" t="s">
        <v>36</v>
      </c>
      <c r="C27" s="12" t="s">
        <v>37</v>
      </c>
      <c r="D27" s="22"/>
      <c r="E27" s="13"/>
    </row>
    <row r="28" spans="1:5" ht="13.15">
      <c r="A28" s="7"/>
      <c r="B28" s="8" t="s">
        <v>38</v>
      </c>
      <c r="C28" s="9" t="s">
        <v>101</v>
      </c>
      <c r="D28" s="23"/>
      <c r="E28" s="10"/>
    </row>
    <row r="29" spans="1:5">
      <c r="A29" s="7">
        <v>1</v>
      </c>
      <c r="B29" s="11" t="s">
        <v>40</v>
      </c>
      <c r="C29" s="12" t="s">
        <v>41</v>
      </c>
      <c r="D29" s="22"/>
      <c r="E29" s="13"/>
    </row>
    <row r="30" spans="1:5">
      <c r="A30" s="7">
        <v>2</v>
      </c>
      <c r="B30" s="11" t="s">
        <v>42</v>
      </c>
      <c r="C30" s="12" t="s">
        <v>43</v>
      </c>
      <c r="D30" s="22"/>
      <c r="E30" s="13"/>
    </row>
    <row r="31" spans="1:5" ht="13.15">
      <c r="A31" s="7"/>
      <c r="B31" s="8" t="s">
        <v>44</v>
      </c>
      <c r="C31" s="9" t="s">
        <v>102</v>
      </c>
      <c r="D31" s="23"/>
      <c r="E31" s="10"/>
    </row>
    <row r="32" spans="1:5">
      <c r="A32" s="7">
        <v>1</v>
      </c>
      <c r="B32" s="11" t="s">
        <v>46</v>
      </c>
      <c r="C32" s="12" t="s">
        <v>47</v>
      </c>
      <c r="D32" s="22"/>
      <c r="E32" s="13"/>
    </row>
    <row r="33" spans="1:5">
      <c r="A33" s="7">
        <v>2</v>
      </c>
      <c r="B33" s="11" t="s">
        <v>48</v>
      </c>
      <c r="C33" s="12" t="s">
        <v>49</v>
      </c>
      <c r="D33" s="22"/>
      <c r="E33" s="13"/>
    </row>
    <row r="34" spans="1:5">
      <c r="A34" s="7">
        <v>3</v>
      </c>
      <c r="B34" s="11" t="s">
        <v>50</v>
      </c>
      <c r="C34" s="12" t="s">
        <v>51</v>
      </c>
      <c r="D34" s="22"/>
      <c r="E34" s="13"/>
    </row>
    <row r="35" spans="1:5">
      <c r="A35" s="7">
        <v>4</v>
      </c>
      <c r="B35" s="11" t="s">
        <v>52</v>
      </c>
      <c r="C35" s="12" t="s">
        <v>53</v>
      </c>
      <c r="D35" s="22"/>
      <c r="E35" s="13"/>
    </row>
    <row r="36" spans="1:5" ht="13.15">
      <c r="A36" s="7"/>
      <c r="B36" s="11"/>
      <c r="C36" s="18" t="s">
        <v>54</v>
      </c>
      <c r="D36" s="22"/>
      <c r="E36" s="13"/>
    </row>
    <row r="37" spans="1:5" ht="13.15">
      <c r="A37" s="7"/>
      <c r="B37" s="8" t="s">
        <v>55</v>
      </c>
      <c r="C37" s="9" t="s">
        <v>103</v>
      </c>
      <c r="D37" s="23"/>
      <c r="E37" s="10"/>
    </row>
    <row r="38" spans="1:5" ht="25.5">
      <c r="A38" s="7">
        <v>1</v>
      </c>
      <c r="B38" s="11" t="s">
        <v>57</v>
      </c>
      <c r="C38" s="12" t="s">
        <v>58</v>
      </c>
      <c r="D38" s="22"/>
      <c r="E38" s="13"/>
    </row>
    <row r="39" spans="1:5">
      <c r="A39" s="7">
        <v>2</v>
      </c>
      <c r="B39" s="11" t="s">
        <v>59</v>
      </c>
      <c r="C39" s="12" t="s">
        <v>60</v>
      </c>
      <c r="D39" s="22"/>
      <c r="E39" s="13"/>
    </row>
    <row r="40" spans="1:5">
      <c r="A40" s="7">
        <v>3</v>
      </c>
      <c r="B40" s="11" t="s">
        <v>61</v>
      </c>
      <c r="C40" s="12" t="s">
        <v>62</v>
      </c>
      <c r="D40" s="22"/>
      <c r="E40" s="13"/>
    </row>
    <row r="41" spans="1:5">
      <c r="A41" s="7">
        <v>4</v>
      </c>
      <c r="B41" s="11" t="s">
        <v>63</v>
      </c>
      <c r="C41" s="12" t="s">
        <v>64</v>
      </c>
      <c r="D41" s="22"/>
      <c r="E41" s="13"/>
    </row>
    <row r="42" spans="1:5">
      <c r="A42" s="7">
        <v>5</v>
      </c>
      <c r="B42" s="11" t="s">
        <v>65</v>
      </c>
      <c r="C42" s="12" t="s">
        <v>66</v>
      </c>
      <c r="D42" s="22"/>
      <c r="E42" s="13"/>
    </row>
    <row r="43" spans="1:5">
      <c r="A43" s="7">
        <v>6</v>
      </c>
      <c r="B43" s="11" t="s">
        <v>67</v>
      </c>
      <c r="C43" s="12" t="s">
        <v>68</v>
      </c>
      <c r="D43" s="22"/>
      <c r="E43" s="13"/>
    </row>
    <row r="44" spans="1:5">
      <c r="A44" s="7">
        <v>7</v>
      </c>
      <c r="B44" s="11" t="s">
        <v>69</v>
      </c>
      <c r="C44" s="12" t="s">
        <v>70</v>
      </c>
      <c r="D44" s="22"/>
      <c r="E44" s="13"/>
    </row>
    <row r="45" spans="1:5" ht="13.15">
      <c r="A45" s="7"/>
      <c r="B45" s="8" t="s">
        <v>71</v>
      </c>
      <c r="C45" s="15" t="s">
        <v>104</v>
      </c>
      <c r="D45" s="23"/>
      <c r="E45" s="10"/>
    </row>
    <row r="46" spans="1:5">
      <c r="A46" s="7">
        <v>1</v>
      </c>
      <c r="B46" s="11" t="s">
        <v>73</v>
      </c>
      <c r="C46" s="12" t="s">
        <v>74</v>
      </c>
      <c r="D46" s="22"/>
      <c r="E46" s="13"/>
    </row>
    <row r="47" spans="1:5">
      <c r="A47" s="7">
        <v>2</v>
      </c>
      <c r="B47" s="11" t="s">
        <v>75</v>
      </c>
      <c r="C47" s="12" t="s">
        <v>76</v>
      </c>
      <c r="D47" s="22"/>
      <c r="E47" s="13"/>
    </row>
    <row r="48" spans="1:5">
      <c r="A48" s="7">
        <v>3</v>
      </c>
      <c r="B48" s="11" t="s">
        <v>77</v>
      </c>
      <c r="C48" s="12" t="s">
        <v>78</v>
      </c>
      <c r="D48" s="22"/>
      <c r="E48" s="13"/>
    </row>
    <row r="49" spans="1:5">
      <c r="A49" s="7">
        <v>4</v>
      </c>
      <c r="B49" s="11" t="s">
        <v>79</v>
      </c>
      <c r="C49" s="12" t="s">
        <v>80</v>
      </c>
      <c r="D49" s="22"/>
      <c r="E49" s="13"/>
    </row>
    <row r="50" spans="1:5" ht="13.15">
      <c r="A50" s="7"/>
      <c r="B50" s="11"/>
      <c r="C50" s="18" t="s">
        <v>81</v>
      </c>
      <c r="D50" s="22"/>
      <c r="E50" s="13"/>
    </row>
    <row r="51" spans="1:5" ht="13.15">
      <c r="A51" s="7"/>
      <c r="B51" s="8" t="s">
        <v>82</v>
      </c>
      <c r="C51" s="9" t="s">
        <v>85</v>
      </c>
      <c r="D51" s="23"/>
      <c r="E51" s="10"/>
    </row>
    <row r="52" spans="1:5">
      <c r="A52" s="7">
        <v>1</v>
      </c>
      <c r="B52" s="11" t="s">
        <v>84</v>
      </c>
      <c r="C52" s="12" t="s">
        <v>85</v>
      </c>
      <c r="D52" s="22"/>
      <c r="E52" s="13"/>
    </row>
    <row r="53" spans="1:5">
      <c r="A53" s="7">
        <v>2</v>
      </c>
      <c r="B53" s="11" t="s">
        <v>86</v>
      </c>
      <c r="C53" s="12" t="s">
        <v>87</v>
      </c>
      <c r="D53" s="22"/>
      <c r="E53" s="13"/>
    </row>
    <row r="54" spans="1:5" ht="13.15">
      <c r="A54" s="7"/>
      <c r="B54" s="11"/>
      <c r="C54" s="18" t="s">
        <v>88</v>
      </c>
      <c r="D54" s="22"/>
      <c r="E54" s="13"/>
    </row>
    <row r="55" spans="1:5" ht="13.15">
      <c r="A55" s="7"/>
      <c r="B55" s="8" t="s">
        <v>89</v>
      </c>
      <c r="C55" s="9" t="s">
        <v>105</v>
      </c>
      <c r="D55" s="23"/>
      <c r="E55" s="10"/>
    </row>
    <row r="56" spans="1:5">
      <c r="A56" s="7">
        <v>1</v>
      </c>
      <c r="B56" s="11" t="s">
        <v>91</v>
      </c>
      <c r="C56" s="12" t="s">
        <v>92</v>
      </c>
      <c r="D56" s="22"/>
      <c r="E56" s="13"/>
    </row>
    <row r="57" spans="1:5">
      <c r="A57" s="7"/>
      <c r="B57" s="11"/>
      <c r="C57" s="12"/>
      <c r="D57" s="22"/>
      <c r="E57" s="13"/>
    </row>
    <row r="58" spans="1:5" ht="13.5" thickBot="1">
      <c r="A58" s="19"/>
      <c r="B58" s="21"/>
      <c r="C58" s="16" t="s">
        <v>93</v>
      </c>
      <c r="D58" s="24"/>
      <c r="E58" s="17"/>
    </row>
    <row r="62" spans="1:5" ht="13.15">
      <c r="A62" s="1" t="s">
        <v>94</v>
      </c>
      <c r="B62" s="1"/>
      <c r="C62" s="1"/>
      <c r="D62" s="3"/>
    </row>
    <row r="63" spans="1:5" ht="13.15">
      <c r="A63" s="1" t="s">
        <v>95</v>
      </c>
      <c r="B63" s="1"/>
      <c r="C63" s="1" t="s">
        <v>96</v>
      </c>
      <c r="D63" s="3"/>
    </row>
    <row r="64" spans="1:5" ht="13.15">
      <c r="A64" s="1"/>
      <c r="B64" s="1"/>
      <c r="C64" s="1"/>
    </row>
    <row r="65" spans="1:3" ht="13.15">
      <c r="A65" s="1" t="s">
        <v>97</v>
      </c>
      <c r="B65" s="1"/>
      <c r="C65" s="1"/>
    </row>
  </sheetData>
  <mergeCells count="1">
    <mergeCell ref="A1:E1"/>
  </mergeCells>
  <phoneticPr fontId="8" type="noConversion"/>
  <conditionalFormatting sqref="D15 D17:D22 D25:D27 D29:D30 D32:D35 D38:D44 D46:D49 D52:D53 D56">
    <cfRule type="cellIs" dxfId="89" priority="1" stopIfTrue="1" operator="equal">
      <formula>0</formula>
    </cfRule>
    <cfRule type="cellIs" dxfId="88" priority="2" stopIfTrue="1" operator="between">
      <formula>1</formula>
      <formula>5</formula>
    </cfRule>
    <cfRule type="cellIs" dxfId="87" priority="3" stopIfTrue="1" operator="greaterThan">
      <formula>5</formula>
    </cfRule>
  </conditionalFormatting>
  <dataValidations count="1">
    <dataValidation type="list" allowBlank="1" showInputMessage="1" showErrorMessage="1" promptTitle="Score" prompt="0         Not Available_x000a_1         Very Weak_x000a_2         So-so_x000a_3         Acceptable_x000a_4         Good_x000a_5         Very Good" sqref="D56 D52:D53 D46:D49 D17:D22 D25:D27 D29:D30 D32:D35 D38:D44 D15" xr:uid="{00000000-0002-0000-0100-000000000000}">
      <formula1>"0,1,2,3,4,5"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3"/>
  <sheetViews>
    <sheetView workbookViewId="0">
      <selection activeCell="E9" sqref="E9"/>
    </sheetView>
  </sheetViews>
  <sheetFormatPr defaultRowHeight="12.75"/>
  <cols>
    <col min="1" max="1" width="5.85546875" customWidth="1"/>
    <col min="2" max="2" width="9" customWidth="1"/>
    <col min="3" max="3" width="38" customWidth="1"/>
    <col min="4" max="4" width="6.28515625" bestFit="1" customWidth="1"/>
    <col min="5" max="5" width="37" customWidth="1"/>
  </cols>
  <sheetData>
    <row r="1" spans="1:5" ht="13.15">
      <c r="A1" s="159" t="s">
        <v>106</v>
      </c>
      <c r="B1" s="159"/>
      <c r="C1" s="159"/>
      <c r="D1" s="159"/>
      <c r="E1" s="159"/>
    </row>
    <row r="2" spans="1:5" ht="13.15" thickBot="1"/>
    <row r="3" spans="1:5" ht="15">
      <c r="A3" s="160" t="s">
        <v>107</v>
      </c>
      <c r="B3" s="160"/>
      <c r="C3" s="39" t="s">
        <v>108</v>
      </c>
      <c r="D3" s="3"/>
    </row>
    <row r="4" spans="1:5" ht="13.15">
      <c r="A4" s="2"/>
      <c r="B4" s="2"/>
      <c r="C4" s="1"/>
      <c r="D4" s="3"/>
    </row>
    <row r="5" spans="1:5" ht="15">
      <c r="A5" s="160" t="s">
        <v>3</v>
      </c>
      <c r="B5" s="160"/>
      <c r="C5" s="1"/>
      <c r="D5" s="3"/>
    </row>
    <row r="6" spans="1:5" ht="15">
      <c r="A6" s="6"/>
      <c r="C6" s="1"/>
      <c r="D6" s="3"/>
    </row>
    <row r="7" spans="1:5" ht="15">
      <c r="A7" s="160" t="s">
        <v>4</v>
      </c>
      <c r="B7" s="160"/>
      <c r="C7" s="1"/>
      <c r="D7" s="3"/>
    </row>
    <row r="8" spans="1:5" ht="13.15">
      <c r="A8" s="2"/>
      <c r="B8" s="2"/>
      <c r="C8" s="1"/>
      <c r="D8" s="3"/>
    </row>
    <row r="9" spans="1:5" ht="13.15">
      <c r="A9" s="2"/>
      <c r="B9" s="2"/>
      <c r="C9" s="4" t="s">
        <v>5</v>
      </c>
      <c r="D9" s="3"/>
    </row>
    <row r="10" spans="1:5" ht="13.15">
      <c r="A10" s="2"/>
      <c r="B10" s="2"/>
      <c r="C10" s="1" t="s">
        <v>6</v>
      </c>
      <c r="D10" s="3"/>
    </row>
    <row r="11" spans="1:5" ht="13.5" thickBot="1">
      <c r="A11" s="2"/>
      <c r="B11" s="2"/>
      <c r="C11" s="1"/>
      <c r="D11" s="3"/>
    </row>
    <row r="12" spans="1:5" ht="26.25">
      <c r="A12" s="25" t="s">
        <v>7</v>
      </c>
      <c r="B12" s="40" t="s">
        <v>8</v>
      </c>
      <c r="C12" s="27"/>
      <c r="D12" s="28" t="s">
        <v>9</v>
      </c>
      <c r="E12" s="29" t="s">
        <v>10</v>
      </c>
    </row>
    <row r="13" spans="1:5" ht="13.15">
      <c r="A13" s="7"/>
      <c r="B13" s="14"/>
      <c r="C13" s="18" t="s">
        <v>11</v>
      </c>
      <c r="D13" s="22"/>
      <c r="E13" s="13"/>
    </row>
    <row r="14" spans="1:5" ht="13.15">
      <c r="A14" s="7">
        <v>1</v>
      </c>
      <c r="B14" s="8" t="s">
        <v>12</v>
      </c>
      <c r="C14" s="9" t="s">
        <v>13</v>
      </c>
      <c r="D14" s="23"/>
      <c r="E14" s="10"/>
    </row>
    <row r="15" spans="1:5">
      <c r="A15" s="7"/>
      <c r="B15" s="11"/>
      <c r="C15" s="12" t="s">
        <v>14</v>
      </c>
      <c r="D15" s="22">
        <v>0</v>
      </c>
      <c r="E15" s="137"/>
    </row>
    <row r="16" spans="1:5" ht="13.15">
      <c r="A16" s="7"/>
      <c r="B16" s="14"/>
      <c r="C16" s="33" t="s">
        <v>109</v>
      </c>
      <c r="D16" s="34">
        <v>0</v>
      </c>
      <c r="E16" s="35"/>
    </row>
    <row r="17" spans="1:5" ht="13.15">
      <c r="A17" s="7"/>
      <c r="B17" s="8" t="s">
        <v>15</v>
      </c>
      <c r="C17" s="9" t="s">
        <v>16</v>
      </c>
      <c r="D17" s="23"/>
      <c r="E17" s="10"/>
    </row>
    <row r="18" spans="1:5">
      <c r="A18" s="7">
        <v>1</v>
      </c>
      <c r="B18" s="11" t="s">
        <v>17</v>
      </c>
      <c r="C18" s="12" t="s">
        <v>18</v>
      </c>
      <c r="D18" s="22">
        <v>0</v>
      </c>
      <c r="E18" s="13"/>
    </row>
    <row r="19" spans="1:5">
      <c r="A19" s="7">
        <v>2</v>
      </c>
      <c r="B19" s="11" t="s">
        <v>19</v>
      </c>
      <c r="C19" s="12" t="s">
        <v>20</v>
      </c>
      <c r="D19" s="22">
        <v>0</v>
      </c>
      <c r="E19" s="32"/>
    </row>
    <row r="20" spans="1:5">
      <c r="A20" s="7">
        <v>3</v>
      </c>
      <c r="B20" s="11" t="s">
        <v>21</v>
      </c>
      <c r="C20" s="12" t="s">
        <v>22</v>
      </c>
      <c r="D20" s="22">
        <v>0</v>
      </c>
      <c r="E20" s="13"/>
    </row>
    <row r="21" spans="1:5">
      <c r="A21" s="7">
        <v>4</v>
      </c>
      <c r="B21" s="11" t="s">
        <v>23</v>
      </c>
      <c r="C21" s="12" t="s">
        <v>24</v>
      </c>
      <c r="D21" s="22">
        <v>0</v>
      </c>
      <c r="E21" s="13"/>
    </row>
    <row r="22" spans="1:5">
      <c r="A22" s="7">
        <v>5</v>
      </c>
      <c r="B22" s="11" t="s">
        <v>25</v>
      </c>
      <c r="C22" s="12" t="s">
        <v>26</v>
      </c>
      <c r="D22" s="22">
        <v>0</v>
      </c>
      <c r="E22" s="32"/>
    </row>
    <row r="23" spans="1:5">
      <c r="A23" s="7">
        <v>6</v>
      </c>
      <c r="B23" s="11" t="s">
        <v>27</v>
      </c>
      <c r="C23" s="12" t="s">
        <v>28</v>
      </c>
      <c r="D23" s="22">
        <v>0</v>
      </c>
      <c r="E23" s="13"/>
    </row>
    <row r="24" spans="1:5" ht="13.15">
      <c r="A24" s="7"/>
      <c r="B24" s="14"/>
      <c r="C24" s="33" t="s">
        <v>109</v>
      </c>
      <c r="D24" s="36">
        <f>SUM(D18:D23)</f>
        <v>0</v>
      </c>
      <c r="E24" s="35"/>
    </row>
    <row r="25" spans="1:5" ht="13.15">
      <c r="A25" s="7"/>
      <c r="B25" s="14"/>
      <c r="C25" s="33" t="s">
        <v>110</v>
      </c>
      <c r="D25" s="36">
        <f>SUM(D24,D16)</f>
        <v>0</v>
      </c>
      <c r="E25" s="35"/>
    </row>
    <row r="26" spans="1:5" ht="13.15">
      <c r="A26" s="7"/>
      <c r="B26" s="14"/>
      <c r="C26" s="33" t="s">
        <v>111</v>
      </c>
      <c r="D26" s="37">
        <f xml:space="preserve"> (D25) /35 * 30</f>
        <v>0</v>
      </c>
      <c r="E26" s="35"/>
    </row>
    <row r="27" spans="1:5" ht="13.15">
      <c r="A27" s="7"/>
      <c r="B27" s="11"/>
      <c r="C27" s="18" t="s">
        <v>29</v>
      </c>
      <c r="D27" s="22"/>
      <c r="E27" s="13"/>
    </row>
    <row r="28" spans="1:5" ht="13.15">
      <c r="A28" s="7"/>
      <c r="B28" s="8" t="s">
        <v>30</v>
      </c>
      <c r="C28" s="9" t="s">
        <v>31</v>
      </c>
      <c r="D28" s="23"/>
      <c r="E28" s="10"/>
    </row>
    <row r="29" spans="1:5" ht="13.15">
      <c r="A29" s="7">
        <v>1</v>
      </c>
      <c r="B29" s="14" t="s">
        <v>32</v>
      </c>
      <c r="C29" s="12" t="s">
        <v>33</v>
      </c>
      <c r="D29" s="22">
        <v>0</v>
      </c>
      <c r="E29" s="32"/>
    </row>
    <row r="30" spans="1:5" ht="13.15">
      <c r="A30" s="7">
        <v>2</v>
      </c>
      <c r="B30" s="14" t="s">
        <v>34</v>
      </c>
      <c r="C30" s="12" t="s">
        <v>35</v>
      </c>
      <c r="D30" s="22">
        <v>0</v>
      </c>
      <c r="E30" s="32"/>
    </row>
    <row r="31" spans="1:5" ht="13.15">
      <c r="A31" s="7">
        <v>3</v>
      </c>
      <c r="B31" s="14" t="s">
        <v>36</v>
      </c>
      <c r="C31" s="12" t="s">
        <v>37</v>
      </c>
      <c r="D31" s="22">
        <v>0</v>
      </c>
      <c r="E31" s="13"/>
    </row>
    <row r="32" spans="1:5" ht="13.15">
      <c r="A32" s="7"/>
      <c r="B32" s="14"/>
      <c r="C32" s="33" t="s">
        <v>109</v>
      </c>
      <c r="D32" s="34">
        <f>SUM(D29:D31)</f>
        <v>0</v>
      </c>
      <c r="E32" s="35"/>
    </row>
    <row r="33" spans="1:5" ht="13.15">
      <c r="A33" s="7"/>
      <c r="B33" s="8" t="s">
        <v>38</v>
      </c>
      <c r="C33" s="9" t="s">
        <v>39</v>
      </c>
      <c r="D33" s="23"/>
      <c r="E33" s="10"/>
    </row>
    <row r="34" spans="1:5">
      <c r="A34" s="7">
        <v>1</v>
      </c>
      <c r="B34" s="11" t="s">
        <v>40</v>
      </c>
      <c r="C34" s="12" t="s">
        <v>41</v>
      </c>
      <c r="D34" s="22">
        <v>0</v>
      </c>
      <c r="E34" s="13"/>
    </row>
    <row r="35" spans="1:5">
      <c r="A35" s="7">
        <v>2</v>
      </c>
      <c r="B35" s="11" t="s">
        <v>42</v>
      </c>
      <c r="C35" s="12" t="s">
        <v>43</v>
      </c>
      <c r="D35" s="22">
        <v>0</v>
      </c>
      <c r="E35" s="13"/>
    </row>
    <row r="36" spans="1:5" ht="13.15">
      <c r="A36" s="7"/>
      <c r="B36" s="14"/>
      <c r="C36" s="33" t="s">
        <v>109</v>
      </c>
      <c r="D36" s="34">
        <f>SUM(D34:D35)</f>
        <v>0</v>
      </c>
      <c r="E36" s="35"/>
    </row>
    <row r="37" spans="1:5" ht="13.15">
      <c r="A37" s="7"/>
      <c r="B37" s="8" t="s">
        <v>44</v>
      </c>
      <c r="C37" s="9" t="s">
        <v>45</v>
      </c>
      <c r="D37" s="23"/>
      <c r="E37" s="10"/>
    </row>
    <row r="38" spans="1:5">
      <c r="A38" s="7">
        <v>1</v>
      </c>
      <c r="B38" s="11" t="s">
        <v>46</v>
      </c>
      <c r="C38" s="12" t="s">
        <v>47</v>
      </c>
      <c r="D38" s="22">
        <v>0</v>
      </c>
      <c r="E38" s="13"/>
    </row>
    <row r="39" spans="1:5">
      <c r="A39" s="7">
        <v>2</v>
      </c>
      <c r="B39" s="11" t="s">
        <v>48</v>
      </c>
      <c r="C39" s="12" t="s">
        <v>49</v>
      </c>
      <c r="D39" s="22">
        <v>0</v>
      </c>
      <c r="E39" s="32"/>
    </row>
    <row r="40" spans="1:5">
      <c r="A40" s="7">
        <v>3</v>
      </c>
      <c r="B40" s="11" t="s">
        <v>50</v>
      </c>
      <c r="C40" s="12" t="s">
        <v>51</v>
      </c>
      <c r="D40" s="22">
        <v>0</v>
      </c>
      <c r="E40" s="13"/>
    </row>
    <row r="41" spans="1:5">
      <c r="A41" s="7">
        <v>4</v>
      </c>
      <c r="B41" s="11" t="s">
        <v>52</v>
      </c>
      <c r="C41" s="12" t="s">
        <v>53</v>
      </c>
      <c r="D41" s="22">
        <v>0</v>
      </c>
      <c r="E41" s="13"/>
    </row>
    <row r="42" spans="1:5" ht="13.15">
      <c r="A42" s="7"/>
      <c r="B42" s="14"/>
      <c r="C42" s="33" t="s">
        <v>109</v>
      </c>
      <c r="D42" s="36">
        <f>SUM(D38:D41)</f>
        <v>0</v>
      </c>
      <c r="E42" s="35"/>
    </row>
    <row r="43" spans="1:5" ht="13.15">
      <c r="A43" s="7"/>
      <c r="B43" s="14"/>
      <c r="C43" s="33" t="s">
        <v>112</v>
      </c>
      <c r="D43" s="36">
        <f>SUM(D32,D36,D42)</f>
        <v>0</v>
      </c>
      <c r="E43" s="35"/>
    </row>
    <row r="44" spans="1:5" ht="13.15">
      <c r="A44" s="7"/>
      <c r="B44" s="14"/>
      <c r="C44" s="33" t="s">
        <v>111</v>
      </c>
      <c r="D44" s="37">
        <f xml:space="preserve"> (D43) /45 * 40</f>
        <v>0</v>
      </c>
      <c r="E44" s="35"/>
    </row>
    <row r="45" spans="1:5" ht="13.15">
      <c r="A45" s="7"/>
      <c r="B45" s="11"/>
      <c r="C45" s="18" t="s">
        <v>54</v>
      </c>
      <c r="D45" s="22"/>
      <c r="E45" s="13"/>
    </row>
    <row r="46" spans="1:5" ht="13.15">
      <c r="A46" s="7"/>
      <c r="B46" s="8" t="s">
        <v>55</v>
      </c>
      <c r="C46" s="9" t="s">
        <v>56</v>
      </c>
      <c r="D46" s="23"/>
      <c r="E46" s="10"/>
    </row>
    <row r="47" spans="1:5" ht="25.5">
      <c r="A47" s="7">
        <v>1</v>
      </c>
      <c r="B47" s="11" t="s">
        <v>57</v>
      </c>
      <c r="C47" s="12" t="s">
        <v>58</v>
      </c>
      <c r="D47" s="22">
        <v>0</v>
      </c>
      <c r="E47" s="13"/>
    </row>
    <row r="48" spans="1:5">
      <c r="A48" s="7">
        <v>2</v>
      </c>
      <c r="B48" s="11" t="s">
        <v>59</v>
      </c>
      <c r="C48" s="12" t="s">
        <v>60</v>
      </c>
      <c r="D48" s="22">
        <v>0</v>
      </c>
      <c r="E48" s="13"/>
    </row>
    <row r="49" spans="1:5">
      <c r="A49" s="7">
        <v>3</v>
      </c>
      <c r="B49" s="11" t="s">
        <v>61</v>
      </c>
      <c r="C49" s="12" t="s">
        <v>62</v>
      </c>
      <c r="D49" s="22">
        <v>0</v>
      </c>
      <c r="E49" s="141"/>
    </row>
    <row r="50" spans="1:5">
      <c r="A50" s="7">
        <v>4</v>
      </c>
      <c r="B50" s="11" t="s">
        <v>63</v>
      </c>
      <c r="C50" s="12" t="s">
        <v>64</v>
      </c>
      <c r="D50" s="22">
        <v>0</v>
      </c>
      <c r="E50" s="141"/>
    </row>
    <row r="51" spans="1:5">
      <c r="A51" s="7">
        <v>5</v>
      </c>
      <c r="B51" s="11" t="s">
        <v>65</v>
      </c>
      <c r="C51" s="12" t="s">
        <v>66</v>
      </c>
      <c r="D51" s="22">
        <v>0</v>
      </c>
      <c r="E51" s="142"/>
    </row>
    <row r="52" spans="1:5">
      <c r="A52" s="7">
        <v>6</v>
      </c>
      <c r="B52" s="11" t="s">
        <v>67</v>
      </c>
      <c r="C52" s="12" t="s">
        <v>68</v>
      </c>
      <c r="D52" s="22">
        <v>0</v>
      </c>
      <c r="E52" s="13"/>
    </row>
    <row r="53" spans="1:5">
      <c r="A53" s="7">
        <v>7</v>
      </c>
      <c r="B53" s="11" t="s">
        <v>69</v>
      </c>
      <c r="C53" s="12" t="s">
        <v>70</v>
      </c>
      <c r="D53" s="22">
        <v>0</v>
      </c>
      <c r="E53" s="141"/>
    </row>
    <row r="54" spans="1:5" ht="13.15">
      <c r="A54" s="7"/>
      <c r="B54" s="14"/>
      <c r="C54" s="33" t="s">
        <v>109</v>
      </c>
      <c r="D54" s="34">
        <f>SUM(D47:D53)</f>
        <v>0</v>
      </c>
      <c r="E54" s="35"/>
    </row>
    <row r="55" spans="1:5" ht="13.15">
      <c r="A55" s="7"/>
      <c r="B55" s="8" t="s">
        <v>71</v>
      </c>
      <c r="C55" s="15" t="s">
        <v>72</v>
      </c>
      <c r="D55" s="23"/>
      <c r="E55" s="10"/>
    </row>
    <row r="56" spans="1:5">
      <c r="A56" s="7">
        <v>1</v>
      </c>
      <c r="B56" s="11" t="s">
        <v>73</v>
      </c>
      <c r="C56" s="12" t="s">
        <v>74</v>
      </c>
      <c r="D56" s="22">
        <v>0</v>
      </c>
      <c r="E56" s="13"/>
    </row>
    <row r="57" spans="1:5">
      <c r="A57" s="7">
        <v>2</v>
      </c>
      <c r="B57" s="11" t="s">
        <v>75</v>
      </c>
      <c r="C57" s="12" t="s">
        <v>76</v>
      </c>
      <c r="D57" s="22">
        <v>0</v>
      </c>
      <c r="E57" s="13"/>
    </row>
    <row r="58" spans="1:5">
      <c r="A58" s="7">
        <v>3</v>
      </c>
      <c r="B58" s="11" t="s">
        <v>77</v>
      </c>
      <c r="C58" s="12" t="s">
        <v>78</v>
      </c>
      <c r="D58" s="22">
        <v>0</v>
      </c>
      <c r="E58" s="13"/>
    </row>
    <row r="59" spans="1:5">
      <c r="A59" s="7">
        <v>4</v>
      </c>
      <c r="B59" s="11" t="s">
        <v>79</v>
      </c>
      <c r="C59" s="12" t="s">
        <v>80</v>
      </c>
      <c r="D59" s="22">
        <v>0</v>
      </c>
      <c r="E59" s="13"/>
    </row>
    <row r="60" spans="1:5" ht="13.15">
      <c r="A60" s="7"/>
      <c r="B60" s="14"/>
      <c r="C60" s="33" t="s">
        <v>109</v>
      </c>
      <c r="D60" s="36">
        <f>SUM(D56:D59)</f>
        <v>0</v>
      </c>
      <c r="E60" s="35"/>
    </row>
    <row r="61" spans="1:5" ht="13.15">
      <c r="A61" s="7"/>
      <c r="B61" s="14"/>
      <c r="C61" s="33" t="s">
        <v>113</v>
      </c>
      <c r="D61" s="36">
        <f>SUM(D60,D54)</f>
        <v>0</v>
      </c>
      <c r="E61" s="35"/>
    </row>
    <row r="62" spans="1:5" ht="13.15">
      <c r="A62" s="7"/>
      <c r="B62" s="14"/>
      <c r="C62" s="33" t="s">
        <v>111</v>
      </c>
      <c r="D62" s="37">
        <f xml:space="preserve"> (D61) /55 * 15</f>
        <v>0</v>
      </c>
      <c r="E62" s="35"/>
    </row>
    <row r="63" spans="1:5" ht="13.15">
      <c r="A63" s="7"/>
      <c r="B63" s="11"/>
      <c r="C63" s="18" t="s">
        <v>81</v>
      </c>
      <c r="D63" s="22"/>
      <c r="E63" s="13"/>
    </row>
    <row r="64" spans="1:5" ht="13.15">
      <c r="A64" s="7"/>
      <c r="B64" s="8" t="s">
        <v>82</v>
      </c>
      <c r="C64" s="9" t="s">
        <v>83</v>
      </c>
      <c r="D64" s="23"/>
      <c r="E64" s="10"/>
    </row>
    <row r="65" spans="1:5">
      <c r="A65" s="7">
        <v>1</v>
      </c>
      <c r="B65" s="11" t="s">
        <v>84</v>
      </c>
      <c r="C65" s="12" t="s">
        <v>85</v>
      </c>
      <c r="D65" s="22">
        <v>0</v>
      </c>
      <c r="E65" s="13"/>
    </row>
    <row r="66" spans="1:5">
      <c r="A66" s="7">
        <v>2</v>
      </c>
      <c r="B66" s="11" t="s">
        <v>86</v>
      </c>
      <c r="C66" s="12" t="s">
        <v>87</v>
      </c>
      <c r="D66" s="22">
        <v>0</v>
      </c>
      <c r="E66" s="13"/>
    </row>
    <row r="67" spans="1:5" ht="13.15">
      <c r="A67" s="7"/>
      <c r="B67" s="11"/>
      <c r="C67" s="33" t="s">
        <v>109</v>
      </c>
      <c r="D67" s="34">
        <f>SUM(D65:D66)</f>
        <v>0</v>
      </c>
      <c r="E67" s="13"/>
    </row>
    <row r="68" spans="1:5" ht="13.15">
      <c r="A68" s="7"/>
      <c r="B68" s="14"/>
      <c r="C68" s="33" t="s">
        <v>114</v>
      </c>
      <c r="D68" s="34">
        <v>0</v>
      </c>
      <c r="E68" s="35"/>
    </row>
    <row r="69" spans="1:5" ht="13.15">
      <c r="A69" s="7"/>
      <c r="B69" s="14"/>
      <c r="C69" s="33" t="s">
        <v>111</v>
      </c>
      <c r="D69" s="37">
        <f xml:space="preserve"> (D68) / 10 * 10</f>
        <v>0</v>
      </c>
      <c r="E69" s="35"/>
    </row>
    <row r="70" spans="1:5" ht="13.15">
      <c r="A70" s="7"/>
      <c r="B70" s="11"/>
      <c r="C70" s="18" t="s">
        <v>88</v>
      </c>
      <c r="D70" s="22"/>
      <c r="E70" s="13"/>
    </row>
    <row r="71" spans="1:5" ht="13.15">
      <c r="A71" s="7"/>
      <c r="B71" s="8" t="s">
        <v>89</v>
      </c>
      <c r="C71" s="9" t="s">
        <v>90</v>
      </c>
      <c r="D71" s="23"/>
      <c r="E71" s="10"/>
    </row>
    <row r="72" spans="1:5">
      <c r="A72" s="7">
        <v>1</v>
      </c>
      <c r="B72" s="11" t="s">
        <v>91</v>
      </c>
      <c r="C72" s="12" t="s">
        <v>92</v>
      </c>
      <c r="D72" s="22">
        <v>0</v>
      </c>
      <c r="E72" s="32"/>
    </row>
    <row r="73" spans="1:5" ht="13.15">
      <c r="A73" s="7"/>
      <c r="B73" s="14"/>
      <c r="C73" s="33" t="s">
        <v>115</v>
      </c>
      <c r="D73" s="34">
        <v>0</v>
      </c>
      <c r="E73" s="35"/>
    </row>
    <row r="74" spans="1:5" ht="13.15">
      <c r="A74" s="7"/>
      <c r="B74" s="14"/>
      <c r="C74" s="33" t="s">
        <v>111</v>
      </c>
      <c r="D74" s="37">
        <f xml:space="preserve"> (D73) /5 * 5</f>
        <v>0</v>
      </c>
      <c r="E74" s="35"/>
    </row>
    <row r="75" spans="1:5">
      <c r="A75" s="7"/>
      <c r="B75" s="11"/>
      <c r="C75" s="12"/>
      <c r="D75" s="22"/>
      <c r="E75" s="13"/>
    </row>
    <row r="76" spans="1:5" ht="13.5" thickBot="1">
      <c r="A76" s="19"/>
      <c r="B76" s="21"/>
      <c r="C76" s="16" t="s">
        <v>116</v>
      </c>
      <c r="D76" s="38">
        <f>(D26+D44+D62+D69+D74)</f>
        <v>0</v>
      </c>
      <c r="E76" s="17"/>
    </row>
    <row r="80" spans="1:5" ht="13.15">
      <c r="A80" s="1" t="s">
        <v>94</v>
      </c>
      <c r="B80" s="1"/>
      <c r="C80" s="1"/>
      <c r="D80" s="3"/>
    </row>
    <row r="81" spans="1:4" ht="13.15">
      <c r="A81" s="1" t="s">
        <v>95</v>
      </c>
      <c r="B81" s="1"/>
      <c r="C81" s="1" t="s">
        <v>96</v>
      </c>
      <c r="D81" s="3"/>
    </row>
    <row r="82" spans="1:4" ht="13.15">
      <c r="A82" s="1"/>
      <c r="B82" s="1"/>
      <c r="C82" s="1"/>
    </row>
    <row r="83" spans="1:4" ht="13.15">
      <c r="A83" s="1" t="s">
        <v>97</v>
      </c>
      <c r="B83" s="1"/>
      <c r="C83" s="1"/>
    </row>
  </sheetData>
  <mergeCells count="4">
    <mergeCell ref="A1:E1"/>
    <mergeCell ref="A3:B3"/>
    <mergeCell ref="A5:B5"/>
    <mergeCell ref="A7:B7"/>
  </mergeCells>
  <conditionalFormatting sqref="D15 D18:D23 D29:D31 D34:D35 D38:D41 D47:D53 D56:D59 D65:D66 D72">
    <cfRule type="cellIs" dxfId="86" priority="1" stopIfTrue="1" operator="equal">
      <formula>0</formula>
    </cfRule>
    <cfRule type="cellIs" dxfId="85" priority="2" stopIfTrue="1" operator="between">
      <formula>1</formula>
      <formula>5</formula>
    </cfRule>
    <cfRule type="cellIs" dxfId="84" priority="3" stopIfTrue="1" operator="greaterThan">
      <formula>5</formula>
    </cfRule>
  </conditionalFormatting>
  <dataValidations count="1">
    <dataValidation type="list" allowBlank="1" showInputMessage="1" showErrorMessage="1" promptTitle="Score" prompt="0         Not Available_x000a_1         Very Weak_x000a_2         So-so_x000a_3         Acceptable_x000a_4         Good_x000a_5         Very Good" sqref="D72 D56:D59 D47:D53 D15 D18:D23 D29:D31 D34:D35 D38:D41 D65:D66" xr:uid="{00000000-0002-0000-0200-000000000000}">
      <formula1>"0,1,2,3,4,5"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B3BA-2C5B-4A32-B046-9DC458CED12F}">
  <sheetPr>
    <pageSetUpPr fitToPage="1"/>
  </sheetPr>
  <dimension ref="A1:P27"/>
  <sheetViews>
    <sheetView view="pageBreakPreview" topLeftCell="A5" zoomScaleNormal="100" zoomScaleSheetLayoutView="100" workbookViewId="0">
      <selection activeCell="D24" sqref="D24"/>
    </sheetView>
  </sheetViews>
  <sheetFormatPr defaultRowHeight="12.75"/>
  <cols>
    <col min="2" max="2" width="13" customWidth="1"/>
    <col min="3" max="3" width="56.5703125" customWidth="1"/>
    <col min="4" max="4" width="16.28515625" customWidth="1"/>
    <col min="5" max="5" width="15" customWidth="1"/>
    <col min="6" max="8" width="13.5703125" customWidth="1"/>
    <col min="9" max="10" width="14.42578125" customWidth="1"/>
  </cols>
  <sheetData>
    <row r="1" spans="1:16" ht="14.25">
      <c r="A1" s="95" t="s">
        <v>117</v>
      </c>
    </row>
    <row r="2" spans="1:16">
      <c r="A2" s="96"/>
      <c r="B2" s="97" t="s">
        <v>118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9"/>
      <c r="O2" s="98"/>
      <c r="P2" s="100"/>
    </row>
    <row r="3" spans="1:16">
      <c r="A3" s="101"/>
      <c r="B3" s="102" t="s">
        <v>119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3"/>
    </row>
    <row r="4" spans="1:16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3"/>
    </row>
    <row r="5" spans="1:16">
      <c r="A5" s="101"/>
      <c r="B5" s="102" t="s">
        <v>120</v>
      </c>
      <c r="C5" s="104" t="s">
        <v>121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3"/>
    </row>
    <row r="6" spans="1:16">
      <c r="A6" s="101"/>
      <c r="B6" s="102" t="s">
        <v>122</v>
      </c>
      <c r="C6" s="104" t="s">
        <v>123</v>
      </c>
      <c r="D6" s="102"/>
      <c r="E6" s="105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</row>
    <row r="7" spans="1:16">
      <c r="A7" s="101"/>
      <c r="B7" s="106" t="s">
        <v>124</v>
      </c>
      <c r="C7" s="107">
        <v>45860</v>
      </c>
      <c r="D7" s="102"/>
      <c r="E7" s="105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3"/>
    </row>
    <row r="8" spans="1:16">
      <c r="A8" s="101"/>
      <c r="B8" s="102" t="s">
        <v>125</v>
      </c>
      <c r="C8" s="107"/>
      <c r="D8" s="102"/>
      <c r="E8" s="105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3"/>
    </row>
    <row r="9" spans="1:16">
      <c r="A9" s="101"/>
      <c r="B9" s="102" t="s">
        <v>126</v>
      </c>
      <c r="C9" s="107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/>
    </row>
    <row r="10" spans="1:16" ht="13.15">
      <c r="A10" s="108"/>
      <c r="B10" s="109"/>
      <c r="C10" s="110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2"/>
    </row>
    <row r="11" spans="1:16">
      <c r="A11" s="101"/>
      <c r="B11" s="113" t="s">
        <v>127</v>
      </c>
      <c r="C11" s="114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3"/>
    </row>
    <row r="12" spans="1:16">
      <c r="A12" s="101"/>
      <c r="B12" s="115" t="s">
        <v>128</v>
      </c>
      <c r="C12" s="114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3"/>
    </row>
    <row r="13" spans="1:16">
      <c r="A13" s="101"/>
      <c r="B13" s="115" t="s">
        <v>129</v>
      </c>
      <c r="C13" s="114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3"/>
    </row>
    <row r="14" spans="1:16">
      <c r="A14" s="101"/>
      <c r="B14" s="116"/>
      <c r="C14" s="116"/>
      <c r="D14" s="117" t="s">
        <v>130</v>
      </c>
      <c r="E14" s="118"/>
      <c r="F14" s="118"/>
      <c r="G14" s="118"/>
      <c r="H14" s="118"/>
      <c r="I14" s="116"/>
      <c r="J14" s="116"/>
      <c r="K14" s="116"/>
      <c r="L14" s="116"/>
      <c r="M14" s="116"/>
      <c r="N14" s="116"/>
      <c r="O14" s="116"/>
      <c r="P14" s="119"/>
    </row>
    <row r="15" spans="1:16" ht="23.25">
      <c r="A15" s="120"/>
      <c r="B15" s="121" t="s">
        <v>131</v>
      </c>
      <c r="C15" s="121" t="s">
        <v>132</v>
      </c>
      <c r="D15" s="122" t="str">
        <f>C6</f>
        <v>Mohd Faiz Ibrahim Sawal</v>
      </c>
      <c r="E15" s="123"/>
      <c r="F15" s="121" t="s">
        <v>133</v>
      </c>
      <c r="G15" s="121" t="s">
        <v>134</v>
      </c>
      <c r="H15" s="121" t="s">
        <v>135</v>
      </c>
      <c r="I15" s="123"/>
      <c r="J15" s="123"/>
      <c r="K15" s="123"/>
      <c r="L15" s="124"/>
      <c r="M15" s="124"/>
      <c r="N15" s="124"/>
      <c r="O15" s="124"/>
      <c r="P15" s="125"/>
    </row>
    <row r="16" spans="1:16">
      <c r="A16" s="120"/>
      <c r="B16" s="135">
        <v>1</v>
      </c>
      <c r="C16" s="68" t="s">
        <v>136</v>
      </c>
      <c r="D16" s="127">
        <f>'3F Resources'!D67</f>
        <v>86.21</v>
      </c>
      <c r="E16" s="128"/>
      <c r="F16" s="129">
        <f>D16</f>
        <v>86.21</v>
      </c>
      <c r="G16" s="129">
        <f>ROUND((F16*0.9),2)</f>
        <v>77.59</v>
      </c>
      <c r="H16" s="130">
        <f>RANK(G16,$G$16:$G$19)</f>
        <v>2</v>
      </c>
      <c r="I16" s="128"/>
      <c r="J16" s="128"/>
      <c r="K16" s="128"/>
      <c r="L16" s="124"/>
      <c r="M16" s="124"/>
      <c r="N16" s="124"/>
      <c r="O16" s="124"/>
      <c r="P16" s="125"/>
    </row>
    <row r="17" spans="1:16">
      <c r="A17" s="120"/>
      <c r="B17" s="135">
        <v>2</v>
      </c>
      <c r="C17" s="68" t="s">
        <v>137</v>
      </c>
      <c r="D17" s="127">
        <f>Fronix!D67</f>
        <v>97.74</v>
      </c>
      <c r="E17" s="128"/>
      <c r="F17" s="129">
        <f>D17</f>
        <v>97.74</v>
      </c>
      <c r="G17" s="129">
        <f t="shared" ref="G17:G19" si="0">ROUND((F17*0.9),2)</f>
        <v>87.97</v>
      </c>
      <c r="H17" s="130">
        <f>RANK(G17,$G$16:$G$19)</f>
        <v>1</v>
      </c>
      <c r="I17" s="128"/>
      <c r="J17" s="128"/>
      <c r="K17" s="128"/>
      <c r="L17" s="124"/>
      <c r="M17" s="124"/>
      <c r="N17" s="124"/>
      <c r="O17" s="124"/>
      <c r="P17" s="125"/>
    </row>
    <row r="18" spans="1:16">
      <c r="A18" s="120"/>
      <c r="B18" s="135">
        <v>3</v>
      </c>
      <c r="C18" s="68" t="s">
        <v>138</v>
      </c>
      <c r="D18" s="127">
        <f>'Qube Apps'!D67</f>
        <v>12.72</v>
      </c>
      <c r="E18" s="128"/>
      <c r="F18" s="129">
        <f t="shared" ref="F18" si="1">D18</f>
        <v>12.72</v>
      </c>
      <c r="G18" s="129">
        <f t="shared" si="0"/>
        <v>11.45</v>
      </c>
      <c r="H18" s="130">
        <f>RANK(G18,$G$16:$G$19)</f>
        <v>4</v>
      </c>
      <c r="I18" s="128"/>
      <c r="J18" s="128"/>
      <c r="K18" s="128"/>
      <c r="L18" s="124"/>
      <c r="M18" s="124"/>
      <c r="N18" s="124"/>
      <c r="O18" s="124"/>
      <c r="P18" s="125"/>
    </row>
    <row r="19" spans="1:16">
      <c r="A19" s="120"/>
      <c r="B19" s="135">
        <v>4</v>
      </c>
      <c r="C19" s="68" t="s">
        <v>139</v>
      </c>
      <c r="D19" s="127">
        <f>Rafatech!D67</f>
        <v>79.069999999999993</v>
      </c>
      <c r="E19" s="128"/>
      <c r="F19" s="129">
        <f>D19</f>
        <v>79.069999999999993</v>
      </c>
      <c r="G19" s="129">
        <f t="shared" si="0"/>
        <v>71.16</v>
      </c>
      <c r="H19" s="130">
        <f>RANK(G19,$G$16:$G$19)</f>
        <v>3</v>
      </c>
      <c r="I19" s="128"/>
      <c r="J19" s="128"/>
      <c r="K19" s="128"/>
      <c r="L19" s="124"/>
      <c r="M19" s="124"/>
      <c r="N19" s="124"/>
      <c r="O19" s="124"/>
      <c r="P19" s="125"/>
    </row>
    <row r="20" spans="1:16">
      <c r="A20" s="120"/>
      <c r="B20" s="136"/>
      <c r="C20" s="137"/>
      <c r="D20" s="138"/>
      <c r="E20" s="139"/>
      <c r="F20" s="139"/>
      <c r="G20" s="139"/>
      <c r="H20" s="140"/>
      <c r="I20" s="128"/>
      <c r="J20" s="128"/>
      <c r="K20" s="128"/>
      <c r="L20" s="124"/>
      <c r="M20" s="124"/>
      <c r="N20" s="124"/>
      <c r="O20" s="124"/>
      <c r="P20" s="125"/>
    </row>
    <row r="21" spans="1:16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3"/>
    </row>
    <row r="22" spans="1:16">
      <c r="A22" s="101"/>
      <c r="B22" s="102"/>
      <c r="C22" s="102"/>
      <c r="D22" s="161" t="s">
        <v>140</v>
      </c>
      <c r="E22" s="161"/>
      <c r="F22" s="161"/>
      <c r="G22" s="161"/>
      <c r="H22" s="161"/>
      <c r="I22" s="102"/>
      <c r="J22" s="102"/>
      <c r="K22" s="102"/>
      <c r="L22" s="102"/>
      <c r="M22" s="102"/>
      <c r="N22" s="102"/>
      <c r="O22" s="102"/>
      <c r="P22" s="103"/>
    </row>
    <row r="23" spans="1:16" ht="34.9">
      <c r="A23" s="101"/>
      <c r="B23" s="121" t="s">
        <v>131</v>
      </c>
      <c r="C23" s="121" t="s">
        <v>132</v>
      </c>
      <c r="D23" s="122" t="s">
        <v>141</v>
      </c>
      <c r="E23" s="122" t="s">
        <v>142</v>
      </c>
      <c r="F23" s="122" t="s">
        <v>143</v>
      </c>
      <c r="G23" s="122" t="s">
        <v>144</v>
      </c>
      <c r="H23" s="122" t="s">
        <v>145</v>
      </c>
      <c r="I23" s="121" t="s">
        <v>133</v>
      </c>
      <c r="J23" s="121" t="s">
        <v>134</v>
      </c>
      <c r="K23" s="102"/>
      <c r="L23" s="121" t="s">
        <v>146</v>
      </c>
      <c r="M23" s="121" t="s">
        <v>147</v>
      </c>
      <c r="N23" s="102"/>
      <c r="O23" s="102"/>
      <c r="P23" s="103"/>
    </row>
    <row r="24" spans="1:16" ht="13.15">
      <c r="A24" s="101"/>
      <c r="B24" s="135">
        <v>1</v>
      </c>
      <c r="C24" s="126" t="str">
        <f>C16</f>
        <v>3F RESOURCES SDN BHD</v>
      </c>
      <c r="D24" s="131">
        <f>'3F Resources'!D25</f>
        <v>11.14</v>
      </c>
      <c r="E24" s="131">
        <f>'3F Resources'!D37</f>
        <v>6.57</v>
      </c>
      <c r="F24" s="131">
        <f>'3F Resources'!D46</f>
        <v>8.5</v>
      </c>
      <c r="G24" s="131">
        <f>'3F Resources'!D57</f>
        <v>56</v>
      </c>
      <c r="H24" s="131">
        <f>'3F Resources'!D65</f>
        <v>4</v>
      </c>
      <c r="I24" s="132">
        <f>SUM(D24:H24)</f>
        <v>86.210000000000008</v>
      </c>
      <c r="J24" s="132">
        <f>I24*0.9</f>
        <v>77.589000000000013</v>
      </c>
      <c r="K24" s="102"/>
      <c r="L24" s="129">
        <f>'3F Resources'!D72</f>
        <v>0</v>
      </c>
      <c r="M24" s="133"/>
      <c r="N24" s="102"/>
      <c r="O24" s="102"/>
      <c r="P24" s="103"/>
    </row>
    <row r="25" spans="1:16" ht="13.15">
      <c r="A25" s="101"/>
      <c r="B25" s="135">
        <v>2</v>
      </c>
      <c r="C25" s="126" t="str">
        <f>C17</f>
        <v>FRONIX SDN BHD</v>
      </c>
      <c r="D25" s="131">
        <f>Fronix!D25</f>
        <v>14.14</v>
      </c>
      <c r="E25" s="131">
        <f>Fronix!D37</f>
        <v>9.43</v>
      </c>
      <c r="F25" s="131">
        <f>Fronix!D46</f>
        <v>9.5</v>
      </c>
      <c r="G25" s="131">
        <f>Fronix!D57</f>
        <v>60</v>
      </c>
      <c r="H25" s="131">
        <f>Fronix!D65</f>
        <v>4.67</v>
      </c>
      <c r="I25" s="132">
        <f t="shared" ref="I25:I27" si="2">SUM(D25:H25)</f>
        <v>97.74</v>
      </c>
      <c r="J25" s="132">
        <f t="shared" ref="J25:J27" si="3">I25*0.9</f>
        <v>87.965999999999994</v>
      </c>
      <c r="K25" s="102"/>
      <c r="L25" s="129">
        <f>Fronix!D72</f>
        <v>3</v>
      </c>
      <c r="M25" s="131"/>
      <c r="N25" s="102"/>
      <c r="O25" s="102"/>
      <c r="P25" s="103"/>
    </row>
    <row r="26" spans="1:16" ht="13.15">
      <c r="A26" s="101"/>
      <c r="B26" s="135">
        <v>3</v>
      </c>
      <c r="C26" s="126" t="str">
        <f>C18</f>
        <v>QUBE APPS SOLUTION SDN BHD</v>
      </c>
      <c r="D26" s="131">
        <f>'Qube Apps'!D25</f>
        <v>0.86</v>
      </c>
      <c r="E26" s="131">
        <f>'Qube Apps'!D37</f>
        <v>0.86</v>
      </c>
      <c r="F26" s="131">
        <f>'Qube Apps'!D46</f>
        <v>0</v>
      </c>
      <c r="G26" s="131">
        <f>'Qube Apps'!D57</f>
        <v>10</v>
      </c>
      <c r="H26" s="131">
        <f>'Qube Apps'!D65</f>
        <v>1</v>
      </c>
      <c r="I26" s="132">
        <f t="shared" si="2"/>
        <v>12.72</v>
      </c>
      <c r="J26" s="132">
        <f t="shared" si="3"/>
        <v>11.448</v>
      </c>
      <c r="K26" s="102"/>
      <c r="L26" s="129">
        <f>'Qube Apps'!D72</f>
        <v>0</v>
      </c>
      <c r="M26" s="133"/>
      <c r="N26" s="102"/>
      <c r="O26" s="102"/>
      <c r="P26" s="103"/>
    </row>
    <row r="27" spans="1:16" ht="13.15">
      <c r="A27" s="101"/>
      <c r="B27" s="135">
        <v>4</v>
      </c>
      <c r="C27" s="126" t="str">
        <f>C19</f>
        <v>RAFATECH SYSTEM SDN BHD</v>
      </c>
      <c r="D27" s="131">
        <f>Rafatech!D25</f>
        <v>9.86</v>
      </c>
      <c r="E27" s="131">
        <f>Rafatech!D37</f>
        <v>5.71</v>
      </c>
      <c r="F27" s="131">
        <f>Rafatech!D46</f>
        <v>7.5</v>
      </c>
      <c r="G27" s="131">
        <f>Rafatech!D57</f>
        <v>52</v>
      </c>
      <c r="H27" s="131">
        <f>Rafatech!D65</f>
        <v>4</v>
      </c>
      <c r="I27" s="132">
        <f t="shared" si="2"/>
        <v>79.069999999999993</v>
      </c>
      <c r="J27" s="132">
        <f t="shared" si="3"/>
        <v>71.162999999999997</v>
      </c>
      <c r="K27" s="102"/>
      <c r="L27" s="129">
        <f>Rafatech!D72</f>
        <v>2</v>
      </c>
      <c r="M27" s="133"/>
      <c r="N27" s="102"/>
      <c r="O27" s="102"/>
      <c r="P27" s="103"/>
    </row>
  </sheetData>
  <mergeCells count="1">
    <mergeCell ref="D22:H22"/>
  </mergeCells>
  <pageMargins left="0.7" right="0.7" top="0.75" bottom="0.75" header="0.3" footer="0.3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EBF5-E8CF-4218-86AF-F89D021E19FC}">
  <sheetPr>
    <tabColor rgb="FFFFC000"/>
    <pageSetUpPr fitToPage="1"/>
  </sheetPr>
  <dimension ref="A1:L76"/>
  <sheetViews>
    <sheetView showGridLines="0" tabSelected="1" view="pageBreakPreview" topLeftCell="A6" zoomScaleNormal="100" zoomScaleSheetLayoutView="100" workbookViewId="0">
      <selection activeCell="D79" sqref="D79"/>
    </sheetView>
  </sheetViews>
  <sheetFormatPr defaultRowHeight="12.75"/>
  <cols>
    <col min="1" max="1" width="5.85546875" customWidth="1"/>
    <col min="2" max="2" width="8.5703125" bestFit="1" customWidth="1"/>
    <col min="3" max="3" width="38" customWidth="1"/>
    <col min="4" max="4" width="16.5703125" customWidth="1"/>
    <col min="5" max="5" width="65.42578125" customWidth="1"/>
  </cols>
  <sheetData>
    <row r="1" spans="1:5" ht="18.75" customHeight="1">
      <c r="A1" s="44"/>
      <c r="B1" s="44"/>
      <c r="C1" s="150" t="s">
        <v>148</v>
      </c>
      <c r="D1" s="150"/>
      <c r="E1" s="150"/>
    </row>
    <row r="2" spans="1:5" ht="32.25" customHeight="1">
      <c r="A2" s="43"/>
      <c r="B2" s="43"/>
      <c r="C2" s="151" t="s">
        <v>121</v>
      </c>
      <c r="D2" s="152"/>
      <c r="E2" s="153"/>
    </row>
    <row r="4" spans="1:5" ht="30" customHeight="1">
      <c r="A4" s="154" t="s">
        <v>149</v>
      </c>
      <c r="B4" s="154"/>
      <c r="C4" s="155" t="str">
        <f>Summary!C16</f>
        <v>3F RESOURCES SDN BHD</v>
      </c>
      <c r="D4" s="155"/>
      <c r="E4" s="42"/>
    </row>
    <row r="5" spans="1:5" ht="30" customHeight="1">
      <c r="A5" s="154" t="s">
        <v>150</v>
      </c>
      <c r="B5" s="154"/>
      <c r="C5" s="156">
        <f>Summary!C7</f>
        <v>45860</v>
      </c>
      <c r="D5" s="156"/>
      <c r="E5" s="1"/>
    </row>
    <row r="6" spans="1:5" ht="30" customHeight="1">
      <c r="A6" s="154" t="s">
        <v>130</v>
      </c>
      <c r="B6" s="154"/>
      <c r="C6" s="157" t="str">
        <f>Summary!C6</f>
        <v>Mohd Faiz Ibrahim Sawal</v>
      </c>
      <c r="D6" s="158"/>
    </row>
    <row r="7" spans="1:5" ht="15">
      <c r="A7" s="93"/>
      <c r="B7" s="93"/>
      <c r="C7" s="46"/>
      <c r="D7" s="3"/>
    </row>
    <row r="8" spans="1:5" ht="13.15">
      <c r="A8" s="2"/>
      <c r="B8" s="2"/>
      <c r="C8" s="1"/>
      <c r="D8" s="3"/>
    </row>
    <row r="9" spans="1:5" ht="13.15">
      <c r="A9" s="2"/>
      <c r="B9" s="2"/>
      <c r="C9" s="4" t="s">
        <v>5</v>
      </c>
      <c r="D9" s="3"/>
    </row>
    <row r="10" spans="1:5" ht="13.15">
      <c r="A10" s="2"/>
      <c r="B10" s="2"/>
      <c r="C10" s="1" t="s">
        <v>6</v>
      </c>
      <c r="D10" s="3"/>
    </row>
    <row r="11" spans="1:5" ht="13.15">
      <c r="A11" s="2"/>
      <c r="B11" s="2"/>
      <c r="C11" s="1"/>
      <c r="D11" s="3"/>
    </row>
    <row r="12" spans="1:5" ht="26.25">
      <c r="A12" s="50" t="s">
        <v>7</v>
      </c>
      <c r="B12" s="51" t="s">
        <v>8</v>
      </c>
      <c r="C12" s="52"/>
      <c r="D12" s="50" t="s">
        <v>9</v>
      </c>
      <c r="E12" s="50" t="s">
        <v>10</v>
      </c>
    </row>
    <row r="13" spans="1:5" ht="13.15">
      <c r="A13" s="53" t="s">
        <v>151</v>
      </c>
      <c r="B13" s="54"/>
      <c r="C13" s="55" t="s">
        <v>152</v>
      </c>
      <c r="D13" s="56"/>
      <c r="E13" s="45"/>
    </row>
    <row r="14" spans="1:5" ht="11.25" customHeight="1">
      <c r="A14" s="53"/>
      <c r="B14" s="57" t="s">
        <v>153</v>
      </c>
      <c r="C14" s="58" t="s">
        <v>13</v>
      </c>
      <c r="D14" s="59"/>
      <c r="E14" s="60"/>
    </row>
    <row r="15" spans="1:5" ht="13.15">
      <c r="A15" s="53"/>
      <c r="B15" s="61" t="s">
        <v>154</v>
      </c>
      <c r="C15" s="47" t="s">
        <v>14</v>
      </c>
      <c r="D15" s="56">
        <v>5</v>
      </c>
      <c r="E15" s="62"/>
    </row>
    <row r="16" spans="1:5" ht="11.25" customHeight="1">
      <c r="A16" s="53"/>
      <c r="B16" s="54"/>
      <c r="C16" s="63" t="s">
        <v>109</v>
      </c>
      <c r="D16" s="64">
        <f>SUM(D15)</f>
        <v>5</v>
      </c>
      <c r="E16" s="65"/>
    </row>
    <row r="17" spans="1:5" ht="13.15">
      <c r="A17" s="53"/>
      <c r="B17" s="57" t="s">
        <v>155</v>
      </c>
      <c r="C17" s="58" t="s">
        <v>16</v>
      </c>
      <c r="D17" s="59"/>
      <c r="E17" s="60"/>
    </row>
    <row r="18" spans="1:5" ht="13.15">
      <c r="A18" s="53"/>
      <c r="B18" s="66" t="s">
        <v>154</v>
      </c>
      <c r="C18" s="47" t="s">
        <v>18</v>
      </c>
      <c r="D18" s="56">
        <v>5</v>
      </c>
      <c r="E18" s="62"/>
    </row>
    <row r="19" spans="1:5" ht="13.15">
      <c r="A19" s="53"/>
      <c r="B19" s="66" t="s">
        <v>156</v>
      </c>
      <c r="C19" s="47" t="s">
        <v>157</v>
      </c>
      <c r="D19" s="56">
        <v>3</v>
      </c>
      <c r="E19" s="67"/>
    </row>
    <row r="20" spans="1:5" ht="13.15">
      <c r="A20" s="53"/>
      <c r="B20" s="66" t="s">
        <v>158</v>
      </c>
      <c r="C20" s="47" t="s">
        <v>22</v>
      </c>
      <c r="D20" s="56">
        <v>3</v>
      </c>
      <c r="E20" s="68"/>
    </row>
    <row r="21" spans="1:5" ht="13.15">
      <c r="A21" s="53"/>
      <c r="B21" s="66" t="s">
        <v>159</v>
      </c>
      <c r="C21" s="47" t="s">
        <v>24</v>
      </c>
      <c r="D21" s="56">
        <v>3</v>
      </c>
      <c r="E21" s="69"/>
    </row>
    <row r="22" spans="1:5" ht="13.15">
      <c r="A22" s="53"/>
      <c r="B22" s="66" t="s">
        <v>160</v>
      </c>
      <c r="C22" s="47" t="s">
        <v>26</v>
      </c>
      <c r="D22" s="56">
        <v>3</v>
      </c>
      <c r="E22" s="134"/>
    </row>
    <row r="23" spans="1:5" ht="13.15">
      <c r="A23" s="53"/>
      <c r="B23" s="66" t="s">
        <v>161</v>
      </c>
      <c r="C23" s="47" t="s">
        <v>162</v>
      </c>
      <c r="D23" s="56">
        <v>4</v>
      </c>
      <c r="E23" s="147"/>
    </row>
    <row r="24" spans="1:5" ht="13.15">
      <c r="A24" s="53"/>
      <c r="B24" s="54"/>
      <c r="C24" s="63" t="s">
        <v>109</v>
      </c>
      <c r="D24" s="70">
        <f>D16+SUM(D18:D23)</f>
        <v>26</v>
      </c>
      <c r="E24" s="65"/>
    </row>
    <row r="25" spans="1:5" ht="13.15">
      <c r="A25" s="53"/>
      <c r="B25" s="54"/>
      <c r="C25" s="63" t="s">
        <v>111</v>
      </c>
      <c r="D25" s="71">
        <f>ROUND((D24/35*15),2)</f>
        <v>11.14</v>
      </c>
      <c r="E25" s="65"/>
    </row>
    <row r="26" spans="1:5" ht="13.15">
      <c r="A26" s="53"/>
      <c r="B26" s="54"/>
      <c r="C26" s="63"/>
      <c r="D26" s="72"/>
      <c r="E26" s="65"/>
    </row>
    <row r="27" spans="1:5" ht="13.15">
      <c r="A27" s="53" t="s">
        <v>163</v>
      </c>
      <c r="B27" s="61"/>
      <c r="C27" s="55" t="s">
        <v>164</v>
      </c>
      <c r="D27" s="56"/>
      <c r="E27" s="45"/>
    </row>
    <row r="28" spans="1:5" ht="13.15">
      <c r="A28" s="53"/>
      <c r="B28" s="57" t="s">
        <v>155</v>
      </c>
      <c r="C28" s="58" t="s">
        <v>165</v>
      </c>
      <c r="D28" s="59"/>
      <c r="E28" s="60"/>
    </row>
    <row r="29" spans="1:5" ht="13.15">
      <c r="A29" s="53"/>
      <c r="B29" s="66" t="s">
        <v>166</v>
      </c>
      <c r="C29" s="47" t="s">
        <v>33</v>
      </c>
      <c r="D29" s="56">
        <v>4</v>
      </c>
      <c r="E29" s="67"/>
    </row>
    <row r="30" spans="1:5" ht="13.15">
      <c r="A30" s="53"/>
      <c r="B30" s="66" t="s">
        <v>167</v>
      </c>
      <c r="C30" s="47" t="s">
        <v>35</v>
      </c>
      <c r="D30" s="56">
        <v>3</v>
      </c>
      <c r="E30" s="67"/>
    </row>
    <row r="31" spans="1:5" ht="13.15">
      <c r="A31" s="53"/>
      <c r="B31" s="66" t="s">
        <v>168</v>
      </c>
      <c r="C31" s="47" t="s">
        <v>37</v>
      </c>
      <c r="D31" s="56">
        <v>3</v>
      </c>
      <c r="E31" s="73"/>
    </row>
    <row r="32" spans="1:5" ht="13.15">
      <c r="A32" s="53"/>
      <c r="B32" s="66" t="s">
        <v>169</v>
      </c>
      <c r="C32" s="47" t="s">
        <v>43</v>
      </c>
      <c r="D32" s="56">
        <v>3</v>
      </c>
      <c r="E32" s="62"/>
    </row>
    <row r="33" spans="1:5" ht="13.15">
      <c r="A33" s="53"/>
      <c r="B33" s="66" t="s">
        <v>170</v>
      </c>
      <c r="C33" s="47" t="s">
        <v>47</v>
      </c>
      <c r="D33" s="56">
        <v>4</v>
      </c>
      <c r="E33" s="62"/>
    </row>
    <row r="34" spans="1:5" ht="13.15">
      <c r="A34" s="53"/>
      <c r="B34" s="66" t="s">
        <v>171</v>
      </c>
      <c r="C34" s="47" t="s">
        <v>49</v>
      </c>
      <c r="D34" s="56">
        <v>3</v>
      </c>
      <c r="E34" s="74"/>
    </row>
    <row r="35" spans="1:5" ht="13.15">
      <c r="A35" s="53"/>
      <c r="B35" s="66" t="s">
        <v>172</v>
      </c>
      <c r="C35" s="47" t="s">
        <v>51</v>
      </c>
      <c r="D35" s="56">
        <v>3</v>
      </c>
      <c r="E35" s="67"/>
    </row>
    <row r="36" spans="1:5" ht="13.15">
      <c r="A36" s="53"/>
      <c r="B36" s="54"/>
      <c r="C36" s="63" t="s">
        <v>109</v>
      </c>
      <c r="D36" s="70">
        <f>SUM(D29:D35)</f>
        <v>23</v>
      </c>
      <c r="E36" s="65"/>
    </row>
    <row r="37" spans="1:5" ht="13.15">
      <c r="A37" s="53"/>
      <c r="B37" s="54"/>
      <c r="C37" s="63" t="s">
        <v>111</v>
      </c>
      <c r="D37" s="71">
        <f>ROUND((D36/35*10),2)</f>
        <v>6.57</v>
      </c>
      <c r="E37" s="65"/>
    </row>
    <row r="38" spans="1:5" ht="13.15">
      <c r="A38" s="53"/>
      <c r="B38" s="54"/>
      <c r="C38" s="63"/>
      <c r="D38" s="72"/>
      <c r="E38" s="65"/>
    </row>
    <row r="39" spans="1:5" ht="13.15">
      <c r="A39" s="53" t="s">
        <v>173</v>
      </c>
      <c r="B39" s="61"/>
      <c r="C39" s="55" t="s">
        <v>174</v>
      </c>
      <c r="D39" s="56"/>
      <c r="E39" s="45"/>
    </row>
    <row r="40" spans="1:5" ht="13.15">
      <c r="A40" s="53"/>
      <c r="B40" s="57" t="s">
        <v>175</v>
      </c>
      <c r="C40" s="58" t="s">
        <v>176</v>
      </c>
      <c r="D40" s="59"/>
      <c r="E40" s="60"/>
    </row>
    <row r="41" spans="1:5" ht="13.15">
      <c r="A41" s="53"/>
      <c r="B41" s="66" t="s">
        <v>177</v>
      </c>
      <c r="C41" s="47" t="s">
        <v>60</v>
      </c>
      <c r="D41" s="56">
        <v>4</v>
      </c>
      <c r="E41" s="62"/>
    </row>
    <row r="42" spans="1:5" ht="13.15">
      <c r="A42" s="53"/>
      <c r="B42" s="66" t="s">
        <v>178</v>
      </c>
      <c r="C42" s="47" t="s">
        <v>179</v>
      </c>
      <c r="D42" s="56">
        <v>5</v>
      </c>
      <c r="E42" s="62"/>
    </row>
    <row r="43" spans="1:5" ht="13.15">
      <c r="A43" s="53"/>
      <c r="B43" s="66" t="s">
        <v>180</v>
      </c>
      <c r="C43" s="47" t="s">
        <v>64</v>
      </c>
      <c r="D43" s="56">
        <v>4</v>
      </c>
      <c r="E43" s="62"/>
    </row>
    <row r="44" spans="1:5" ht="13.15">
      <c r="A44" s="53"/>
      <c r="B44" s="66" t="s">
        <v>181</v>
      </c>
      <c r="C44" s="47" t="s">
        <v>182</v>
      </c>
      <c r="D44" s="56">
        <v>4</v>
      </c>
      <c r="E44" s="62"/>
    </row>
    <row r="45" spans="1:5" ht="13.15">
      <c r="A45" s="53"/>
      <c r="B45" s="54"/>
      <c r="C45" s="63" t="s">
        <v>109</v>
      </c>
      <c r="D45" s="64">
        <f>SUM(D41:D44)</f>
        <v>17</v>
      </c>
      <c r="E45" s="65"/>
    </row>
    <row r="46" spans="1:5" ht="13.15">
      <c r="A46" s="53"/>
      <c r="B46" s="54"/>
      <c r="C46" s="63" t="s">
        <v>111</v>
      </c>
      <c r="D46" s="71">
        <f>ROUND((D45/20*10),2)</f>
        <v>8.5</v>
      </c>
      <c r="E46" s="65"/>
    </row>
    <row r="47" spans="1:5" ht="13.15">
      <c r="A47" s="53"/>
      <c r="B47" s="54"/>
      <c r="C47" s="63"/>
      <c r="D47" s="72"/>
      <c r="E47" s="65"/>
    </row>
    <row r="48" spans="1:5" ht="13.15">
      <c r="A48" s="53" t="s">
        <v>183</v>
      </c>
      <c r="B48" s="54"/>
      <c r="C48" s="75" t="s">
        <v>184</v>
      </c>
      <c r="D48" s="72"/>
      <c r="E48" s="65"/>
    </row>
    <row r="49" spans="1:12" ht="13.15">
      <c r="A49" s="53"/>
      <c r="B49" s="57" t="s">
        <v>185</v>
      </c>
      <c r="C49" s="76" t="s">
        <v>186</v>
      </c>
      <c r="D49" s="59"/>
      <c r="E49" s="60"/>
    </row>
    <row r="50" spans="1:12" ht="13.15">
      <c r="A50" s="45"/>
      <c r="B50" s="45">
        <v>4.0999999999999996</v>
      </c>
      <c r="C50" s="68" t="s">
        <v>187</v>
      </c>
      <c r="D50" s="56">
        <f>[1]Sheet1!$E$8</f>
        <v>5</v>
      </c>
      <c r="E50" s="45"/>
      <c r="K50" s="91"/>
      <c r="L50" s="91"/>
    </row>
    <row r="51" spans="1:12" ht="13.15">
      <c r="A51" s="148"/>
      <c r="B51" s="45">
        <v>4.2</v>
      </c>
      <c r="C51" s="68" t="s">
        <v>188</v>
      </c>
      <c r="D51" s="56">
        <f>[1]Sheet1!$E$9</f>
        <v>5</v>
      </c>
      <c r="E51" s="45"/>
      <c r="K51" s="91"/>
      <c r="L51" s="91"/>
    </row>
    <row r="52" spans="1:12" ht="13.15">
      <c r="A52" s="148"/>
      <c r="B52" s="45">
        <v>4.3</v>
      </c>
      <c r="C52" s="68" t="s">
        <v>189</v>
      </c>
      <c r="D52" s="56">
        <f>[1]Sheet1!$E$10</f>
        <v>5</v>
      </c>
      <c r="E52" s="45"/>
      <c r="K52" s="91"/>
      <c r="L52" s="91"/>
    </row>
    <row r="53" spans="1:12" ht="13.15">
      <c r="A53" s="148"/>
      <c r="B53" s="45">
        <v>4.4000000000000004</v>
      </c>
      <c r="C53" s="68" t="s">
        <v>190</v>
      </c>
      <c r="D53" s="56">
        <f>[1]Sheet1!$E$11</f>
        <v>5</v>
      </c>
      <c r="E53" s="45"/>
      <c r="K53" s="91"/>
      <c r="L53" s="91"/>
    </row>
    <row r="54" spans="1:12" ht="13.15">
      <c r="A54" s="148"/>
      <c r="B54" s="45">
        <v>4.5</v>
      </c>
      <c r="C54" s="68" t="s">
        <v>191</v>
      </c>
      <c r="D54" s="56">
        <f>[1]Sheet1!$E$12</f>
        <v>5</v>
      </c>
      <c r="E54" s="45"/>
      <c r="K54" s="91"/>
      <c r="L54" s="91"/>
    </row>
    <row r="55" spans="1:12" ht="13.15">
      <c r="A55" s="148"/>
      <c r="B55" s="45">
        <v>4.5999999999999996</v>
      </c>
      <c r="C55" s="68" t="s">
        <v>192</v>
      </c>
      <c r="D55" s="56">
        <f>[1]Sheet1!$E$13</f>
        <v>3</v>
      </c>
      <c r="E55" s="45"/>
      <c r="K55" s="91"/>
      <c r="L55" s="91"/>
    </row>
    <row r="56" spans="1:12" ht="13.15">
      <c r="A56" s="146"/>
      <c r="B56" s="45"/>
      <c r="C56" s="94" t="s">
        <v>109</v>
      </c>
      <c r="D56" s="70">
        <f>SUM(D50:D55)</f>
        <v>28</v>
      </c>
      <c r="E56" s="65"/>
    </row>
    <row r="57" spans="1:12" ht="13.15">
      <c r="A57" s="53"/>
      <c r="B57" s="54"/>
      <c r="C57" s="63" t="s">
        <v>111</v>
      </c>
      <c r="D57" s="71">
        <f>ROUND((D56/30*60),2)</f>
        <v>56</v>
      </c>
      <c r="E57" s="65"/>
    </row>
    <row r="58" spans="1:12" ht="13.15">
      <c r="A58" s="53"/>
      <c r="B58" s="54"/>
      <c r="C58" s="63"/>
      <c r="D58" s="72"/>
      <c r="E58" s="65"/>
    </row>
    <row r="59" spans="1:12" ht="13.15">
      <c r="A59" s="53" t="s">
        <v>193</v>
      </c>
      <c r="B59" s="54"/>
      <c r="C59" s="75" t="s">
        <v>194</v>
      </c>
      <c r="D59" s="92"/>
      <c r="E59" s="65"/>
    </row>
    <row r="60" spans="1:12" ht="13.15">
      <c r="A60" s="53"/>
      <c r="B60" s="57" t="s">
        <v>195</v>
      </c>
      <c r="C60" s="76" t="s">
        <v>196</v>
      </c>
      <c r="D60" s="59"/>
      <c r="E60" s="60"/>
    </row>
    <row r="61" spans="1:12" ht="13.15">
      <c r="A61" s="53"/>
      <c r="B61" s="66" t="s">
        <v>197</v>
      </c>
      <c r="C61" s="47" t="s">
        <v>76</v>
      </c>
      <c r="D61" s="56">
        <v>4</v>
      </c>
      <c r="E61" s="73"/>
    </row>
    <row r="62" spans="1:12" ht="13.15">
      <c r="A62" s="53"/>
      <c r="B62" s="66" t="s">
        <v>198</v>
      </c>
      <c r="C62" s="47" t="s">
        <v>199</v>
      </c>
      <c r="D62" s="56">
        <v>5</v>
      </c>
      <c r="E62" s="73"/>
    </row>
    <row r="63" spans="1:12" ht="13.15">
      <c r="A63" s="53"/>
      <c r="B63" s="66" t="s">
        <v>200</v>
      </c>
      <c r="C63" s="47" t="s">
        <v>80</v>
      </c>
      <c r="D63" s="56">
        <v>3</v>
      </c>
      <c r="E63" s="73"/>
    </row>
    <row r="64" spans="1:12" ht="13.15">
      <c r="A64" s="53"/>
      <c r="B64" s="54"/>
      <c r="C64" s="63" t="s">
        <v>109</v>
      </c>
      <c r="D64" s="70">
        <f>SUM(D61:D63)</f>
        <v>12</v>
      </c>
      <c r="E64" s="65"/>
    </row>
    <row r="65" spans="1:5" ht="13.15">
      <c r="A65" s="53"/>
      <c r="B65" s="54"/>
      <c r="C65" s="63" t="s">
        <v>111</v>
      </c>
      <c r="D65" s="71">
        <f>ROUND((D64/15*5),2)</f>
        <v>4</v>
      </c>
      <c r="E65" s="65"/>
    </row>
    <row r="66" spans="1:5" ht="13.15">
      <c r="A66" s="53"/>
      <c r="B66" s="54"/>
      <c r="C66" s="63"/>
      <c r="D66" s="77"/>
      <c r="E66" s="65"/>
    </row>
    <row r="67" spans="1:5" ht="15">
      <c r="A67" s="78"/>
      <c r="B67" s="79"/>
      <c r="C67" s="80" t="s">
        <v>201</v>
      </c>
      <c r="D67" s="81">
        <f>ROUND((D65+D57+D46+D37+D25),2)</f>
        <v>86.21</v>
      </c>
      <c r="E67" s="79"/>
    </row>
    <row r="69" spans="1:5" ht="13.15">
      <c r="A69" s="53" t="s">
        <v>202</v>
      </c>
      <c r="B69" s="61"/>
      <c r="C69" s="55" t="s">
        <v>203</v>
      </c>
      <c r="D69" s="56"/>
      <c r="E69" s="45"/>
    </row>
    <row r="70" spans="1:5" ht="13.15">
      <c r="A70" s="53"/>
      <c r="B70" s="57"/>
      <c r="C70" s="58" t="s">
        <v>90</v>
      </c>
      <c r="D70" s="59"/>
      <c r="E70" s="60"/>
    </row>
    <row r="71" spans="1:5">
      <c r="A71" s="78"/>
      <c r="B71" s="66"/>
      <c r="C71" s="47" t="s">
        <v>204</v>
      </c>
      <c r="D71" s="56">
        <v>0</v>
      </c>
      <c r="E71" s="67"/>
    </row>
    <row r="72" spans="1:5" ht="13.15">
      <c r="A72" s="53"/>
      <c r="B72" s="54"/>
      <c r="C72" s="63" t="s">
        <v>109</v>
      </c>
      <c r="D72" s="70">
        <f>SUM(D71)</f>
        <v>0</v>
      </c>
      <c r="E72" s="65"/>
    </row>
    <row r="73" spans="1:5" ht="13.15">
      <c r="A73" s="78"/>
      <c r="B73" s="54"/>
      <c r="C73" s="63" t="s">
        <v>111</v>
      </c>
      <c r="D73" s="71"/>
      <c r="E73" s="65"/>
    </row>
    <row r="76" spans="1:5" ht="25.5" customHeight="1">
      <c r="A76" s="149" t="s">
        <v>205</v>
      </c>
      <c r="B76" s="149"/>
      <c r="C76" s="90"/>
      <c r="E76" s="41"/>
    </row>
  </sheetData>
  <mergeCells count="9">
    <mergeCell ref="A76:B76"/>
    <mergeCell ref="C1:E1"/>
    <mergeCell ref="C2:E2"/>
    <mergeCell ref="A4:B4"/>
    <mergeCell ref="A5:B5"/>
    <mergeCell ref="A6:B6"/>
    <mergeCell ref="C4:D4"/>
    <mergeCell ref="C5:D5"/>
    <mergeCell ref="C6:D6"/>
  </mergeCells>
  <conditionalFormatting sqref="D15">
    <cfRule type="cellIs" dxfId="83" priority="19" stopIfTrue="1" operator="equal">
      <formula>0</formula>
    </cfRule>
    <cfRule type="cellIs" dxfId="82" priority="20" stopIfTrue="1" operator="between">
      <formula>1</formula>
      <formula>5</formula>
    </cfRule>
    <cfRule type="cellIs" dxfId="81" priority="21" stopIfTrue="1" operator="greaterThan">
      <formula>5</formula>
    </cfRule>
  </conditionalFormatting>
  <conditionalFormatting sqref="D18:D23">
    <cfRule type="cellIs" dxfId="80" priority="16" stopIfTrue="1" operator="equal">
      <formula>0</formula>
    </cfRule>
    <cfRule type="cellIs" dxfId="79" priority="17" stopIfTrue="1" operator="between">
      <formula>1</formula>
      <formula>5</formula>
    </cfRule>
    <cfRule type="cellIs" dxfId="78" priority="18" stopIfTrue="1" operator="greaterThan">
      <formula>5</formula>
    </cfRule>
  </conditionalFormatting>
  <conditionalFormatting sqref="D29:D35">
    <cfRule type="cellIs" dxfId="77" priority="13" stopIfTrue="1" operator="equal">
      <formula>0</formula>
    </cfRule>
    <cfRule type="cellIs" dxfId="76" priority="14" stopIfTrue="1" operator="between">
      <formula>1</formula>
      <formula>5</formula>
    </cfRule>
    <cfRule type="cellIs" dxfId="75" priority="15" stopIfTrue="1" operator="greaterThan">
      <formula>5</formula>
    </cfRule>
  </conditionalFormatting>
  <conditionalFormatting sqref="D41:D44">
    <cfRule type="cellIs" dxfId="74" priority="10" stopIfTrue="1" operator="equal">
      <formula>0</formula>
    </cfRule>
    <cfRule type="cellIs" dxfId="73" priority="11" stopIfTrue="1" operator="between">
      <formula>1</formula>
      <formula>5</formula>
    </cfRule>
    <cfRule type="cellIs" dxfId="72" priority="12" stopIfTrue="1" operator="greaterThan">
      <formula>5</formula>
    </cfRule>
  </conditionalFormatting>
  <conditionalFormatting sqref="D50:D55">
    <cfRule type="cellIs" dxfId="71" priority="1" stopIfTrue="1" operator="equal">
      <formula>0</formula>
    </cfRule>
    <cfRule type="cellIs" dxfId="70" priority="2" stopIfTrue="1" operator="between">
      <formula>1</formula>
      <formula>5</formula>
    </cfRule>
    <cfRule type="cellIs" dxfId="69" priority="3" stopIfTrue="1" operator="greaterThan">
      <formula>5</formula>
    </cfRule>
  </conditionalFormatting>
  <conditionalFormatting sqref="D61:D63">
    <cfRule type="cellIs" dxfId="68" priority="4" stopIfTrue="1" operator="equal">
      <formula>0</formula>
    </cfRule>
    <cfRule type="cellIs" dxfId="67" priority="5" stopIfTrue="1" operator="between">
      <formula>1</formula>
      <formula>5</formula>
    </cfRule>
    <cfRule type="cellIs" dxfId="66" priority="6" stopIfTrue="1" operator="greaterThan">
      <formula>5</formula>
    </cfRule>
  </conditionalFormatting>
  <conditionalFormatting sqref="D71">
    <cfRule type="cellIs" dxfId="65" priority="7" stopIfTrue="1" operator="equal">
      <formula>0</formula>
    </cfRule>
    <cfRule type="cellIs" dxfId="64" priority="8" stopIfTrue="1" operator="between">
      <formula>1</formula>
      <formula>5</formula>
    </cfRule>
    <cfRule type="cellIs" dxfId="63" priority="9" stopIfTrue="1" operator="greaterThan">
      <formula>5</formula>
    </cfRule>
  </conditionalFormatting>
  <dataValidations xWindow="397" yWindow="404" count="1">
    <dataValidation type="list" allowBlank="1" showInputMessage="1" showErrorMessage="1" promptTitle="Score" prompt="0         Not Available_x000a_1         Very Weak_x000a_2         So-so_x000a_3         Acceptable_x000a_4         Good_x000a_5         Very Good" sqref="D18:D23 D41:D44 D15 D29:D35 D71 D50:D55 D61:D63" xr:uid="{65B37020-3C97-40F4-BF0B-EA11B4C5A48D}">
      <formula1>"0,1,2,3,4,5"</formula1>
    </dataValidation>
  </dataValidations>
  <pageMargins left="0.7" right="0.56000000000000005" top="0.75" bottom="0.42" header="0.3" footer="0.3"/>
  <pageSetup paperSize="9" scale="64" fitToWidth="0" orientation="portrait" r:id="rId1"/>
  <colBreaks count="2" manualBreakCount="2">
    <brk id="5" max="73" man="1"/>
    <brk id="6" max="7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E1A8-630C-40A1-A94E-507ABF9DE17C}">
  <sheetPr>
    <tabColor rgb="FFFFC000"/>
    <pageSetUpPr fitToPage="1"/>
  </sheetPr>
  <dimension ref="A1:L76"/>
  <sheetViews>
    <sheetView showGridLines="0" view="pageBreakPreview" topLeftCell="A69" zoomScaleNormal="100" zoomScaleSheetLayoutView="100" workbookViewId="0">
      <selection activeCell="C76" sqref="C76"/>
    </sheetView>
  </sheetViews>
  <sheetFormatPr defaultRowHeight="12.75"/>
  <cols>
    <col min="1" max="1" width="5.85546875" customWidth="1"/>
    <col min="2" max="2" width="8.5703125" bestFit="1" customWidth="1"/>
    <col min="3" max="3" width="38" customWidth="1"/>
    <col min="4" max="4" width="16.5703125" customWidth="1"/>
    <col min="5" max="5" width="65.42578125" customWidth="1"/>
  </cols>
  <sheetData>
    <row r="1" spans="1:5" ht="18.75" customHeight="1">
      <c r="A1" s="44"/>
      <c r="B1" s="44"/>
      <c r="C1" s="150" t="s">
        <v>148</v>
      </c>
      <c r="D1" s="150"/>
      <c r="E1" s="150"/>
    </row>
    <row r="2" spans="1:5" ht="32.25" customHeight="1">
      <c r="A2" s="43"/>
      <c r="B2" s="43"/>
      <c r="C2" s="151" t="s">
        <v>121</v>
      </c>
      <c r="D2" s="152"/>
      <c r="E2" s="153"/>
    </row>
    <row r="4" spans="1:5" ht="30" customHeight="1">
      <c r="A4" s="154" t="s">
        <v>149</v>
      </c>
      <c r="B4" s="154"/>
      <c r="C4" s="155" t="str">
        <f>Summary!C17</f>
        <v>FRONIX SDN BHD</v>
      </c>
      <c r="D4" s="155"/>
      <c r="E4" s="42"/>
    </row>
    <row r="5" spans="1:5" ht="30" customHeight="1">
      <c r="A5" s="154" t="s">
        <v>150</v>
      </c>
      <c r="B5" s="154"/>
      <c r="C5" s="156">
        <f>Summary!C7</f>
        <v>45860</v>
      </c>
      <c r="D5" s="156"/>
      <c r="E5" s="1"/>
    </row>
    <row r="6" spans="1:5" ht="30" customHeight="1">
      <c r="A6" s="154" t="s">
        <v>130</v>
      </c>
      <c r="B6" s="154"/>
      <c r="C6" s="157" t="str">
        <f>Summary!C6</f>
        <v>Mohd Faiz Ibrahim Sawal</v>
      </c>
      <c r="D6" s="158"/>
    </row>
    <row r="7" spans="1:5" ht="15">
      <c r="A7" s="93"/>
      <c r="B7" s="93"/>
      <c r="C7" s="46"/>
      <c r="D7" s="3"/>
    </row>
    <row r="8" spans="1:5" ht="13.15">
      <c r="A8" s="2"/>
      <c r="B8" s="2"/>
      <c r="C8" s="1"/>
      <c r="D8" s="3"/>
    </row>
    <row r="9" spans="1:5" ht="13.15">
      <c r="A9" s="2"/>
      <c r="B9" s="2"/>
      <c r="C9" s="4" t="s">
        <v>5</v>
      </c>
      <c r="D9" s="3"/>
    </row>
    <row r="10" spans="1:5" ht="13.15">
      <c r="A10" s="2"/>
      <c r="B10" s="2"/>
      <c r="C10" s="1" t="s">
        <v>6</v>
      </c>
      <c r="D10" s="3"/>
    </row>
    <row r="11" spans="1:5" ht="13.15">
      <c r="A11" s="2"/>
      <c r="B11" s="2"/>
      <c r="C11" s="1"/>
      <c r="D11" s="3"/>
    </row>
    <row r="12" spans="1:5" ht="26.25">
      <c r="A12" s="50" t="s">
        <v>7</v>
      </c>
      <c r="B12" s="51" t="s">
        <v>8</v>
      </c>
      <c r="C12" s="52"/>
      <c r="D12" s="50" t="s">
        <v>9</v>
      </c>
      <c r="E12" s="50" t="s">
        <v>10</v>
      </c>
    </row>
    <row r="13" spans="1:5" ht="13.15">
      <c r="A13" s="53" t="s">
        <v>151</v>
      </c>
      <c r="B13" s="54"/>
      <c r="C13" s="55" t="s">
        <v>152</v>
      </c>
      <c r="D13" s="56"/>
      <c r="E13" s="45"/>
    </row>
    <row r="14" spans="1:5" ht="11.25" customHeight="1">
      <c r="A14" s="53"/>
      <c r="B14" s="57" t="s">
        <v>153</v>
      </c>
      <c r="C14" s="58" t="s">
        <v>13</v>
      </c>
      <c r="D14" s="59"/>
      <c r="E14" s="60"/>
    </row>
    <row r="15" spans="1:5" ht="13.15">
      <c r="A15" s="53"/>
      <c r="B15" s="61" t="s">
        <v>154</v>
      </c>
      <c r="C15" s="47" t="s">
        <v>14</v>
      </c>
      <c r="D15" s="56">
        <v>5</v>
      </c>
      <c r="E15" s="62"/>
    </row>
    <row r="16" spans="1:5" ht="11.25" customHeight="1">
      <c r="A16" s="53"/>
      <c r="B16" s="54"/>
      <c r="C16" s="63" t="s">
        <v>109</v>
      </c>
      <c r="D16" s="64">
        <f>SUM(D15)</f>
        <v>5</v>
      </c>
      <c r="E16" s="65"/>
    </row>
    <row r="17" spans="1:5" ht="13.15">
      <c r="A17" s="53"/>
      <c r="B17" s="57" t="s">
        <v>155</v>
      </c>
      <c r="C17" s="58" t="s">
        <v>16</v>
      </c>
      <c r="D17" s="59"/>
      <c r="E17" s="60"/>
    </row>
    <row r="18" spans="1:5" ht="13.15">
      <c r="A18" s="53"/>
      <c r="B18" s="66" t="s">
        <v>154</v>
      </c>
      <c r="C18" s="47" t="s">
        <v>18</v>
      </c>
      <c r="D18" s="56">
        <v>5</v>
      </c>
      <c r="E18" s="62"/>
    </row>
    <row r="19" spans="1:5" ht="13.15">
      <c r="A19" s="53"/>
      <c r="B19" s="66" t="s">
        <v>156</v>
      </c>
      <c r="C19" s="47" t="s">
        <v>157</v>
      </c>
      <c r="D19" s="56">
        <v>5</v>
      </c>
      <c r="E19" s="67"/>
    </row>
    <row r="20" spans="1:5" ht="13.15">
      <c r="A20" s="53"/>
      <c r="B20" s="66" t="s">
        <v>158</v>
      </c>
      <c r="C20" s="47" t="s">
        <v>22</v>
      </c>
      <c r="D20" s="56">
        <v>5</v>
      </c>
      <c r="E20" s="68"/>
    </row>
    <row r="21" spans="1:5" ht="13.15">
      <c r="A21" s="53"/>
      <c r="B21" s="66" t="s">
        <v>159</v>
      </c>
      <c r="C21" s="47" t="s">
        <v>24</v>
      </c>
      <c r="D21" s="56">
        <v>4</v>
      </c>
      <c r="E21" s="69"/>
    </row>
    <row r="22" spans="1:5" ht="13.15">
      <c r="A22" s="53"/>
      <c r="B22" s="66" t="s">
        <v>160</v>
      </c>
      <c r="C22" s="47" t="s">
        <v>26</v>
      </c>
      <c r="D22" s="56">
        <v>5</v>
      </c>
      <c r="E22" s="134"/>
    </row>
    <row r="23" spans="1:5" ht="13.15">
      <c r="A23" s="53"/>
      <c r="B23" s="66" t="s">
        <v>161</v>
      </c>
      <c r="C23" s="47" t="s">
        <v>162</v>
      </c>
      <c r="D23" s="56">
        <v>4</v>
      </c>
      <c r="E23" s="147"/>
    </row>
    <row r="24" spans="1:5" ht="13.15">
      <c r="A24" s="53"/>
      <c r="B24" s="54"/>
      <c r="C24" s="63" t="s">
        <v>109</v>
      </c>
      <c r="D24" s="70">
        <f>D16+SUM(D18:D23)</f>
        <v>33</v>
      </c>
      <c r="E24" s="65"/>
    </row>
    <row r="25" spans="1:5" ht="13.15">
      <c r="A25" s="53"/>
      <c r="B25" s="54"/>
      <c r="C25" s="63" t="s">
        <v>111</v>
      </c>
      <c r="D25" s="71">
        <f>ROUND((D24/35*15),2)</f>
        <v>14.14</v>
      </c>
      <c r="E25" s="65"/>
    </row>
    <row r="26" spans="1:5" ht="13.15">
      <c r="A26" s="53"/>
      <c r="B26" s="54"/>
      <c r="C26" s="63"/>
      <c r="D26" s="72"/>
      <c r="E26" s="65"/>
    </row>
    <row r="27" spans="1:5" ht="13.15">
      <c r="A27" s="53" t="s">
        <v>163</v>
      </c>
      <c r="B27" s="61"/>
      <c r="C27" s="55" t="s">
        <v>164</v>
      </c>
      <c r="D27" s="56"/>
      <c r="E27" s="45"/>
    </row>
    <row r="28" spans="1:5" ht="13.15">
      <c r="A28" s="53"/>
      <c r="B28" s="57" t="s">
        <v>155</v>
      </c>
      <c r="C28" s="58" t="s">
        <v>165</v>
      </c>
      <c r="D28" s="59"/>
      <c r="E28" s="60"/>
    </row>
    <row r="29" spans="1:5" ht="13.15">
      <c r="A29" s="53"/>
      <c r="B29" s="66" t="s">
        <v>166</v>
      </c>
      <c r="C29" s="47" t="s">
        <v>33</v>
      </c>
      <c r="D29" s="56">
        <v>5</v>
      </c>
      <c r="E29" s="67"/>
    </row>
    <row r="30" spans="1:5" ht="13.15">
      <c r="A30" s="53"/>
      <c r="B30" s="66" t="s">
        <v>167</v>
      </c>
      <c r="C30" s="47" t="s">
        <v>35</v>
      </c>
      <c r="D30" s="56">
        <v>5</v>
      </c>
      <c r="E30" s="67"/>
    </row>
    <row r="31" spans="1:5" ht="13.15">
      <c r="A31" s="53"/>
      <c r="B31" s="66" t="s">
        <v>168</v>
      </c>
      <c r="C31" s="47" t="s">
        <v>37</v>
      </c>
      <c r="D31" s="56">
        <v>5</v>
      </c>
      <c r="E31" s="73"/>
    </row>
    <row r="32" spans="1:5" ht="13.15">
      <c r="A32" s="53"/>
      <c r="B32" s="66" t="s">
        <v>169</v>
      </c>
      <c r="C32" s="47" t="s">
        <v>43</v>
      </c>
      <c r="D32" s="56">
        <v>5</v>
      </c>
      <c r="E32" s="62"/>
    </row>
    <row r="33" spans="1:5" ht="13.15">
      <c r="A33" s="53"/>
      <c r="B33" s="66" t="s">
        <v>170</v>
      </c>
      <c r="C33" s="47" t="s">
        <v>47</v>
      </c>
      <c r="D33" s="56">
        <v>4</v>
      </c>
      <c r="E33" s="62"/>
    </row>
    <row r="34" spans="1:5" ht="13.15">
      <c r="A34" s="53"/>
      <c r="B34" s="66" t="s">
        <v>171</v>
      </c>
      <c r="C34" s="47" t="s">
        <v>49</v>
      </c>
      <c r="D34" s="56">
        <v>4</v>
      </c>
      <c r="E34" s="74"/>
    </row>
    <row r="35" spans="1:5" ht="13.15">
      <c r="A35" s="53"/>
      <c r="B35" s="66" t="s">
        <v>172</v>
      </c>
      <c r="C35" s="47" t="s">
        <v>51</v>
      </c>
      <c r="D35" s="56">
        <v>5</v>
      </c>
      <c r="E35" s="67"/>
    </row>
    <row r="36" spans="1:5" ht="13.15">
      <c r="A36" s="53"/>
      <c r="B36" s="54"/>
      <c r="C36" s="63" t="s">
        <v>109</v>
      </c>
      <c r="D36" s="70">
        <f>SUM(D29:D35)</f>
        <v>33</v>
      </c>
      <c r="E36" s="65"/>
    </row>
    <row r="37" spans="1:5" ht="13.15">
      <c r="A37" s="53"/>
      <c r="B37" s="54"/>
      <c r="C37" s="63" t="s">
        <v>111</v>
      </c>
      <c r="D37" s="71">
        <f>ROUND((D36/35*10),2)</f>
        <v>9.43</v>
      </c>
      <c r="E37" s="65"/>
    </row>
    <row r="38" spans="1:5" ht="13.15">
      <c r="A38" s="53"/>
      <c r="B38" s="54"/>
      <c r="C38" s="63"/>
      <c r="D38" s="72"/>
      <c r="E38" s="65"/>
    </row>
    <row r="39" spans="1:5" ht="13.15">
      <c r="A39" s="53" t="s">
        <v>173</v>
      </c>
      <c r="B39" s="61"/>
      <c r="C39" s="55" t="s">
        <v>174</v>
      </c>
      <c r="D39" s="56"/>
      <c r="E39" s="45"/>
    </row>
    <row r="40" spans="1:5" ht="13.15">
      <c r="A40" s="53"/>
      <c r="B40" s="57" t="s">
        <v>175</v>
      </c>
      <c r="C40" s="58" t="s">
        <v>176</v>
      </c>
      <c r="D40" s="59"/>
      <c r="E40" s="60"/>
    </row>
    <row r="41" spans="1:5" ht="13.15">
      <c r="A41" s="53"/>
      <c r="B41" s="66" t="s">
        <v>177</v>
      </c>
      <c r="C41" s="47" t="s">
        <v>60</v>
      </c>
      <c r="D41" s="56">
        <v>5</v>
      </c>
      <c r="E41" s="62"/>
    </row>
    <row r="42" spans="1:5" ht="13.15">
      <c r="A42" s="53"/>
      <c r="B42" s="66" t="s">
        <v>178</v>
      </c>
      <c r="C42" s="47" t="s">
        <v>179</v>
      </c>
      <c r="D42" s="56">
        <v>5</v>
      </c>
      <c r="E42" s="62"/>
    </row>
    <row r="43" spans="1:5" ht="13.15">
      <c r="A43" s="53"/>
      <c r="B43" s="66" t="s">
        <v>180</v>
      </c>
      <c r="C43" s="47" t="s">
        <v>64</v>
      </c>
      <c r="D43" s="56">
        <v>5</v>
      </c>
      <c r="E43" s="62"/>
    </row>
    <row r="44" spans="1:5" ht="13.15">
      <c r="A44" s="53"/>
      <c r="B44" s="66" t="s">
        <v>181</v>
      </c>
      <c r="C44" s="47" t="s">
        <v>182</v>
      </c>
      <c r="D44" s="56">
        <v>4</v>
      </c>
      <c r="E44" s="62"/>
    </row>
    <row r="45" spans="1:5" ht="13.15">
      <c r="A45" s="53"/>
      <c r="B45" s="54"/>
      <c r="C45" s="63" t="s">
        <v>109</v>
      </c>
      <c r="D45" s="64">
        <f>SUM(D41:D44)</f>
        <v>19</v>
      </c>
      <c r="E45" s="65"/>
    </row>
    <row r="46" spans="1:5" ht="13.15">
      <c r="A46" s="53"/>
      <c r="B46" s="54"/>
      <c r="C46" s="63" t="s">
        <v>111</v>
      </c>
      <c r="D46" s="71">
        <f>ROUND((D45/20*10),2)</f>
        <v>9.5</v>
      </c>
      <c r="E46" s="65"/>
    </row>
    <row r="47" spans="1:5" ht="13.15">
      <c r="A47" s="53"/>
      <c r="B47" s="54"/>
      <c r="C47" s="63"/>
      <c r="D47" s="72"/>
      <c r="E47" s="65"/>
    </row>
    <row r="48" spans="1:5" ht="13.15">
      <c r="A48" s="53" t="s">
        <v>183</v>
      </c>
      <c r="B48" s="54"/>
      <c r="C48" s="75" t="s">
        <v>184</v>
      </c>
      <c r="D48" s="72"/>
      <c r="E48" s="65"/>
    </row>
    <row r="49" spans="1:12" ht="13.15">
      <c r="A49" s="53"/>
      <c r="B49" s="57" t="s">
        <v>185</v>
      </c>
      <c r="C49" s="76" t="s">
        <v>186</v>
      </c>
      <c r="D49" s="59"/>
      <c r="E49" s="60"/>
    </row>
    <row r="50" spans="1:12" ht="13.15">
      <c r="A50" s="45"/>
      <c r="B50" s="45">
        <v>4.0999999999999996</v>
      </c>
      <c r="C50" s="68" t="s">
        <v>187</v>
      </c>
      <c r="D50" s="56">
        <f>[1]Sheet1!$G$8</f>
        <v>5</v>
      </c>
      <c r="E50" s="45"/>
      <c r="K50" s="91"/>
      <c r="L50" s="91"/>
    </row>
    <row r="51" spans="1:12" ht="13.15">
      <c r="A51" s="148"/>
      <c r="B51" s="45">
        <v>4.2</v>
      </c>
      <c r="C51" s="68" t="s">
        <v>188</v>
      </c>
      <c r="D51" s="56">
        <f>[1]Sheet1!$G$9</f>
        <v>5</v>
      </c>
      <c r="E51" s="45"/>
      <c r="K51" s="91"/>
      <c r="L51" s="91"/>
    </row>
    <row r="52" spans="1:12" ht="13.15">
      <c r="A52" s="148"/>
      <c r="B52" s="45">
        <v>4.3</v>
      </c>
      <c r="C52" s="68" t="s">
        <v>189</v>
      </c>
      <c r="D52" s="56">
        <f>[1]Sheet1!$G$10</f>
        <v>5</v>
      </c>
      <c r="E52" s="45"/>
      <c r="K52" s="91"/>
      <c r="L52" s="91"/>
    </row>
    <row r="53" spans="1:12" ht="13.15">
      <c r="A53" s="148"/>
      <c r="B53" s="45">
        <v>4.4000000000000004</v>
      </c>
      <c r="C53" s="68" t="s">
        <v>190</v>
      </c>
      <c r="D53" s="56">
        <f>[1]Sheet1!$G$11</f>
        <v>5</v>
      </c>
      <c r="E53" s="45"/>
      <c r="K53" s="91"/>
      <c r="L53" s="91"/>
    </row>
    <row r="54" spans="1:12" ht="13.15">
      <c r="A54" s="148"/>
      <c r="B54" s="45">
        <v>4.5</v>
      </c>
      <c r="C54" s="68" t="s">
        <v>191</v>
      </c>
      <c r="D54" s="56">
        <f>[1]Sheet1!$G$12</f>
        <v>5</v>
      </c>
      <c r="E54" s="45"/>
      <c r="K54" s="91"/>
      <c r="L54" s="91"/>
    </row>
    <row r="55" spans="1:12" ht="13.15">
      <c r="A55" s="148"/>
      <c r="B55" s="45">
        <v>4.5999999999999996</v>
      </c>
      <c r="C55" s="68" t="s">
        <v>192</v>
      </c>
      <c r="D55" s="56">
        <f>[1]Sheet1!$G$13</f>
        <v>5</v>
      </c>
      <c r="E55" s="45"/>
      <c r="K55" s="91"/>
      <c r="L55" s="91"/>
    </row>
    <row r="56" spans="1:12" ht="13.15">
      <c r="A56" s="146"/>
      <c r="B56" s="45"/>
      <c r="C56" s="94" t="s">
        <v>109</v>
      </c>
      <c r="D56" s="70">
        <f>SUM(D50:D55)</f>
        <v>30</v>
      </c>
      <c r="E56" s="65"/>
    </row>
    <row r="57" spans="1:12" ht="13.15">
      <c r="A57" s="53"/>
      <c r="B57" s="54"/>
      <c r="C57" s="63" t="s">
        <v>111</v>
      </c>
      <c r="D57" s="71">
        <f>ROUND((D56/30*60),2)</f>
        <v>60</v>
      </c>
      <c r="E57" s="65"/>
    </row>
    <row r="58" spans="1:12" ht="13.15">
      <c r="A58" s="53"/>
      <c r="B58" s="54"/>
      <c r="C58" s="63"/>
      <c r="D58" s="72"/>
      <c r="E58" s="65"/>
    </row>
    <row r="59" spans="1:12" ht="13.15">
      <c r="A59" s="53" t="s">
        <v>193</v>
      </c>
      <c r="B59" s="54"/>
      <c r="C59" s="75" t="s">
        <v>194</v>
      </c>
      <c r="D59" s="92"/>
      <c r="E59" s="65"/>
    </row>
    <row r="60" spans="1:12" ht="13.15">
      <c r="A60" s="53"/>
      <c r="B60" s="57" t="s">
        <v>195</v>
      </c>
      <c r="C60" s="76" t="s">
        <v>196</v>
      </c>
      <c r="D60" s="59"/>
      <c r="E60" s="60"/>
    </row>
    <row r="61" spans="1:12" ht="13.15">
      <c r="A61" s="53"/>
      <c r="B61" s="66" t="s">
        <v>197</v>
      </c>
      <c r="C61" s="47" t="s">
        <v>76</v>
      </c>
      <c r="D61" s="56">
        <v>5</v>
      </c>
      <c r="E61" s="73"/>
    </row>
    <row r="62" spans="1:12" ht="13.15">
      <c r="A62" s="53"/>
      <c r="B62" s="66" t="s">
        <v>198</v>
      </c>
      <c r="C62" s="47" t="s">
        <v>199</v>
      </c>
      <c r="D62" s="56">
        <v>5</v>
      </c>
      <c r="E62" s="73"/>
    </row>
    <row r="63" spans="1:12" ht="13.15">
      <c r="A63" s="53"/>
      <c r="B63" s="66" t="s">
        <v>200</v>
      </c>
      <c r="C63" s="47" t="s">
        <v>80</v>
      </c>
      <c r="D63" s="56">
        <v>4</v>
      </c>
      <c r="E63" s="73"/>
    </row>
    <row r="64" spans="1:12" ht="13.15">
      <c r="A64" s="53"/>
      <c r="B64" s="54"/>
      <c r="C64" s="63" t="s">
        <v>109</v>
      </c>
      <c r="D64" s="70">
        <f>SUM(D61:D63)</f>
        <v>14</v>
      </c>
      <c r="E64" s="65"/>
    </row>
    <row r="65" spans="1:5" ht="13.15">
      <c r="A65" s="53"/>
      <c r="B65" s="54"/>
      <c r="C65" s="63" t="s">
        <v>111</v>
      </c>
      <c r="D65" s="71">
        <f>ROUND((D64/15*5),2)</f>
        <v>4.67</v>
      </c>
      <c r="E65" s="65"/>
    </row>
    <row r="66" spans="1:5" ht="13.15">
      <c r="A66" s="53"/>
      <c r="B66" s="54"/>
      <c r="C66" s="63"/>
      <c r="D66" s="77"/>
      <c r="E66" s="65"/>
    </row>
    <row r="67" spans="1:5" ht="15">
      <c r="A67" s="78"/>
      <c r="B67" s="79"/>
      <c r="C67" s="80" t="s">
        <v>201</v>
      </c>
      <c r="D67" s="81">
        <f>ROUND((D65+D57+D46+D37+D25),2)</f>
        <v>97.74</v>
      </c>
      <c r="E67" s="79"/>
    </row>
    <row r="69" spans="1:5" ht="13.15">
      <c r="A69" s="53" t="s">
        <v>202</v>
      </c>
      <c r="B69" s="61"/>
      <c r="C69" s="55" t="s">
        <v>203</v>
      </c>
      <c r="D69" s="56"/>
      <c r="E69" s="45"/>
    </row>
    <row r="70" spans="1:5" ht="13.15">
      <c r="A70" s="53"/>
      <c r="B70" s="57"/>
      <c r="C70" s="58" t="s">
        <v>90</v>
      </c>
      <c r="D70" s="59"/>
      <c r="E70" s="60"/>
    </row>
    <row r="71" spans="1:5">
      <c r="A71" s="78"/>
      <c r="B71" s="66"/>
      <c r="C71" s="47" t="s">
        <v>204</v>
      </c>
      <c r="D71" s="56">
        <v>3</v>
      </c>
      <c r="E71" s="67"/>
    </row>
    <row r="72" spans="1:5" ht="13.15">
      <c r="A72" s="53"/>
      <c r="B72" s="54"/>
      <c r="C72" s="63" t="s">
        <v>109</v>
      </c>
      <c r="D72" s="70">
        <f>SUM(D71)</f>
        <v>3</v>
      </c>
      <c r="E72" s="65"/>
    </row>
    <row r="73" spans="1:5" ht="13.15">
      <c r="A73" s="78"/>
      <c r="B73" s="54"/>
      <c r="C73" s="63" t="s">
        <v>111</v>
      </c>
      <c r="D73" s="71"/>
      <c r="E73" s="65"/>
    </row>
    <row r="76" spans="1:5" ht="25.5" customHeight="1">
      <c r="A76" s="149" t="s">
        <v>205</v>
      </c>
      <c r="B76" s="149"/>
      <c r="C76" s="90"/>
      <c r="E76" s="41"/>
    </row>
  </sheetData>
  <mergeCells count="9">
    <mergeCell ref="A6:B6"/>
    <mergeCell ref="C6:D6"/>
    <mergeCell ref="A76:B76"/>
    <mergeCell ref="C1:E1"/>
    <mergeCell ref="C2:E2"/>
    <mergeCell ref="A4:B4"/>
    <mergeCell ref="C4:D4"/>
    <mergeCell ref="A5:B5"/>
    <mergeCell ref="C5:D5"/>
  </mergeCells>
  <conditionalFormatting sqref="D15">
    <cfRule type="cellIs" dxfId="62" priority="19" stopIfTrue="1" operator="equal">
      <formula>0</formula>
    </cfRule>
    <cfRule type="cellIs" dxfId="61" priority="20" stopIfTrue="1" operator="between">
      <formula>1</formula>
      <formula>5</formula>
    </cfRule>
    <cfRule type="cellIs" dxfId="60" priority="21" stopIfTrue="1" operator="greaterThan">
      <formula>5</formula>
    </cfRule>
  </conditionalFormatting>
  <conditionalFormatting sqref="D18:D23">
    <cfRule type="cellIs" dxfId="59" priority="16" stopIfTrue="1" operator="equal">
      <formula>0</formula>
    </cfRule>
    <cfRule type="cellIs" dxfId="58" priority="17" stopIfTrue="1" operator="between">
      <formula>1</formula>
      <formula>5</formula>
    </cfRule>
    <cfRule type="cellIs" dxfId="57" priority="18" stopIfTrue="1" operator="greaterThan">
      <formula>5</formula>
    </cfRule>
  </conditionalFormatting>
  <conditionalFormatting sqref="D29:D35">
    <cfRule type="cellIs" dxfId="56" priority="13" stopIfTrue="1" operator="equal">
      <formula>0</formula>
    </cfRule>
    <cfRule type="cellIs" dxfId="55" priority="14" stopIfTrue="1" operator="between">
      <formula>1</formula>
      <formula>5</formula>
    </cfRule>
    <cfRule type="cellIs" dxfId="54" priority="15" stopIfTrue="1" operator="greaterThan">
      <formula>5</formula>
    </cfRule>
  </conditionalFormatting>
  <conditionalFormatting sqref="D41:D44">
    <cfRule type="cellIs" dxfId="53" priority="10" stopIfTrue="1" operator="equal">
      <formula>0</formula>
    </cfRule>
    <cfRule type="cellIs" dxfId="52" priority="11" stopIfTrue="1" operator="between">
      <formula>1</formula>
      <formula>5</formula>
    </cfRule>
    <cfRule type="cellIs" dxfId="51" priority="12" stopIfTrue="1" operator="greaterThan">
      <formula>5</formula>
    </cfRule>
  </conditionalFormatting>
  <conditionalFormatting sqref="D50:D55">
    <cfRule type="cellIs" dxfId="50" priority="1" stopIfTrue="1" operator="equal">
      <formula>0</formula>
    </cfRule>
    <cfRule type="cellIs" dxfId="49" priority="2" stopIfTrue="1" operator="between">
      <formula>1</formula>
      <formula>5</formula>
    </cfRule>
    <cfRule type="cellIs" dxfId="48" priority="3" stopIfTrue="1" operator="greaterThan">
      <formula>5</formula>
    </cfRule>
  </conditionalFormatting>
  <conditionalFormatting sqref="D61:D63">
    <cfRule type="cellIs" dxfId="47" priority="4" stopIfTrue="1" operator="equal">
      <formula>0</formula>
    </cfRule>
    <cfRule type="cellIs" dxfId="46" priority="5" stopIfTrue="1" operator="between">
      <formula>1</formula>
      <formula>5</formula>
    </cfRule>
    <cfRule type="cellIs" dxfId="45" priority="6" stopIfTrue="1" operator="greaterThan">
      <formula>5</formula>
    </cfRule>
  </conditionalFormatting>
  <conditionalFormatting sqref="D71">
    <cfRule type="cellIs" dxfId="44" priority="7" stopIfTrue="1" operator="equal">
      <formula>0</formula>
    </cfRule>
    <cfRule type="cellIs" dxfId="43" priority="8" stopIfTrue="1" operator="between">
      <formula>1</formula>
      <formula>5</formula>
    </cfRule>
    <cfRule type="cellIs" dxfId="42" priority="9" stopIfTrue="1" operator="greaterThan">
      <formula>5</formula>
    </cfRule>
  </conditionalFormatting>
  <dataValidations count="1">
    <dataValidation type="list" allowBlank="1" showInputMessage="1" showErrorMessage="1" promptTitle="Score" prompt="0         Not Available_x000a_1         Very Weak_x000a_2         So-so_x000a_3         Acceptable_x000a_4         Good_x000a_5         Very Good" sqref="D18:D23 D41:D44 D15 D29:D35 D71 D50:D55 D61:D63" xr:uid="{8CBBA962-17CF-45EC-8C5A-087D66CEE781}">
      <formula1>"0,1,2,3,4,5"</formula1>
    </dataValidation>
  </dataValidations>
  <pageMargins left="0.7" right="0.56000000000000005" top="0.75" bottom="0.42" header="0.3" footer="0.3"/>
  <pageSetup paperSize="9" scale="64" fitToWidth="0" orientation="portrait" r:id="rId1"/>
  <colBreaks count="2" manualBreakCount="2">
    <brk id="5" max="73" man="1"/>
    <brk id="6" max="7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4751-C11C-438F-8797-CC549EAF75CE}">
  <sheetPr>
    <tabColor rgb="FFFFC000"/>
    <pageSetUpPr fitToPage="1"/>
  </sheetPr>
  <dimension ref="A1:L76"/>
  <sheetViews>
    <sheetView showGridLines="0" view="pageBreakPreview" topLeftCell="A69" zoomScaleNormal="100" zoomScaleSheetLayoutView="100" workbookViewId="0">
      <selection activeCell="C89" sqref="C89"/>
    </sheetView>
  </sheetViews>
  <sheetFormatPr defaultRowHeight="12.75"/>
  <cols>
    <col min="1" max="1" width="5.85546875" customWidth="1"/>
    <col min="2" max="2" width="8.5703125" bestFit="1" customWidth="1"/>
    <col min="3" max="3" width="38" customWidth="1"/>
    <col min="4" max="4" width="16.5703125" customWidth="1"/>
    <col min="5" max="5" width="65.42578125" customWidth="1"/>
  </cols>
  <sheetData>
    <row r="1" spans="1:5" ht="18.75" customHeight="1">
      <c r="A1" s="44"/>
      <c r="B1" s="44"/>
      <c r="C1" s="150" t="s">
        <v>148</v>
      </c>
      <c r="D1" s="150"/>
      <c r="E1" s="150"/>
    </row>
    <row r="2" spans="1:5" ht="32.25" customHeight="1">
      <c r="A2" s="43"/>
      <c r="B2" s="43"/>
      <c r="C2" s="151" t="s">
        <v>121</v>
      </c>
      <c r="D2" s="152"/>
      <c r="E2" s="153"/>
    </row>
    <row r="4" spans="1:5" ht="30" customHeight="1">
      <c r="A4" s="154" t="s">
        <v>149</v>
      </c>
      <c r="B4" s="154"/>
      <c r="C4" s="155" t="str">
        <f>Summary!C18</f>
        <v>QUBE APPS SOLUTION SDN BHD</v>
      </c>
      <c r="D4" s="155"/>
      <c r="E4" s="42"/>
    </row>
    <row r="5" spans="1:5" ht="30" customHeight="1">
      <c r="A5" s="154" t="s">
        <v>150</v>
      </c>
      <c r="B5" s="154"/>
      <c r="C5" s="156">
        <f>Summary!C7</f>
        <v>45860</v>
      </c>
      <c r="D5" s="156"/>
      <c r="E5" s="1"/>
    </row>
    <row r="6" spans="1:5" ht="30" customHeight="1">
      <c r="A6" s="154" t="s">
        <v>130</v>
      </c>
      <c r="B6" s="154"/>
      <c r="C6" s="157" t="str">
        <f>Summary!C6</f>
        <v>Mohd Faiz Ibrahim Sawal</v>
      </c>
      <c r="D6" s="158"/>
    </row>
    <row r="7" spans="1:5" ht="15">
      <c r="A7" s="93"/>
      <c r="B7" s="93"/>
      <c r="C7" s="46"/>
      <c r="D7" s="3"/>
    </row>
    <row r="8" spans="1:5" ht="13.15">
      <c r="A8" s="2"/>
      <c r="B8" s="2"/>
      <c r="C8" s="1"/>
      <c r="D8" s="3"/>
    </row>
    <row r="9" spans="1:5" ht="13.15">
      <c r="A9" s="2"/>
      <c r="B9" s="2"/>
      <c r="C9" s="4" t="s">
        <v>5</v>
      </c>
      <c r="D9" s="3"/>
    </row>
    <row r="10" spans="1:5" ht="13.15">
      <c r="A10" s="2"/>
      <c r="B10" s="2"/>
      <c r="C10" s="1" t="s">
        <v>6</v>
      </c>
      <c r="D10" s="3"/>
    </row>
    <row r="11" spans="1:5" ht="13.15">
      <c r="A11" s="2"/>
      <c r="B11" s="2"/>
      <c r="C11" s="1"/>
      <c r="D11" s="3"/>
    </row>
    <row r="12" spans="1:5" ht="26.25">
      <c r="A12" s="50" t="s">
        <v>7</v>
      </c>
      <c r="B12" s="51" t="s">
        <v>8</v>
      </c>
      <c r="C12" s="52"/>
      <c r="D12" s="50" t="s">
        <v>9</v>
      </c>
      <c r="E12" s="50" t="s">
        <v>10</v>
      </c>
    </row>
    <row r="13" spans="1:5" ht="13.15">
      <c r="A13" s="53" t="s">
        <v>151</v>
      </c>
      <c r="B13" s="54"/>
      <c r="C13" s="55" t="s">
        <v>152</v>
      </c>
      <c r="D13" s="56"/>
      <c r="E13" s="45"/>
    </row>
    <row r="14" spans="1:5" ht="11.25" customHeight="1">
      <c r="A14" s="53"/>
      <c r="B14" s="57" t="s">
        <v>153</v>
      </c>
      <c r="C14" s="58" t="s">
        <v>13</v>
      </c>
      <c r="D14" s="59"/>
      <c r="E14" s="60"/>
    </row>
    <row r="15" spans="1:5" ht="13.15">
      <c r="A15" s="53"/>
      <c r="B15" s="61" t="s">
        <v>154</v>
      </c>
      <c r="C15" s="47" t="s">
        <v>14</v>
      </c>
      <c r="D15" s="56">
        <v>2</v>
      </c>
      <c r="E15" s="62"/>
    </row>
    <row r="16" spans="1:5" ht="11.25" customHeight="1">
      <c r="A16" s="53"/>
      <c r="B16" s="54"/>
      <c r="C16" s="63" t="s">
        <v>109</v>
      </c>
      <c r="D16" s="64">
        <f>SUM(D15)</f>
        <v>2</v>
      </c>
      <c r="E16" s="65"/>
    </row>
    <row r="17" spans="1:5" ht="13.15">
      <c r="A17" s="53"/>
      <c r="B17" s="57" t="s">
        <v>155</v>
      </c>
      <c r="C17" s="58" t="s">
        <v>16</v>
      </c>
      <c r="D17" s="59"/>
      <c r="E17" s="60"/>
    </row>
    <row r="18" spans="1:5" ht="13.15">
      <c r="A18" s="53"/>
      <c r="B18" s="66" t="s">
        <v>154</v>
      </c>
      <c r="C18" s="47" t="s">
        <v>18</v>
      </c>
      <c r="D18" s="56">
        <v>0</v>
      </c>
      <c r="E18" s="62"/>
    </row>
    <row r="19" spans="1:5" ht="13.15">
      <c r="A19" s="53"/>
      <c r="B19" s="66" t="s">
        <v>156</v>
      </c>
      <c r="C19" s="47" t="s">
        <v>157</v>
      </c>
      <c r="D19" s="56">
        <v>0</v>
      </c>
      <c r="E19" s="67"/>
    </row>
    <row r="20" spans="1:5" ht="13.15">
      <c r="A20" s="53"/>
      <c r="B20" s="66" t="s">
        <v>158</v>
      </c>
      <c r="C20" s="47" t="s">
        <v>22</v>
      </c>
      <c r="D20" s="56">
        <v>0</v>
      </c>
      <c r="E20" s="68"/>
    </row>
    <row r="21" spans="1:5" ht="13.15">
      <c r="A21" s="53"/>
      <c r="B21" s="66" t="s">
        <v>159</v>
      </c>
      <c r="C21" s="47" t="s">
        <v>24</v>
      </c>
      <c r="D21" s="56">
        <v>0</v>
      </c>
      <c r="E21" s="69"/>
    </row>
    <row r="22" spans="1:5" ht="13.15">
      <c r="A22" s="53"/>
      <c r="B22" s="66" t="s">
        <v>160</v>
      </c>
      <c r="C22" s="47" t="s">
        <v>26</v>
      </c>
      <c r="D22" s="56">
        <v>0</v>
      </c>
      <c r="E22" s="134"/>
    </row>
    <row r="23" spans="1:5" ht="13.15">
      <c r="A23" s="53"/>
      <c r="B23" s="66" t="s">
        <v>161</v>
      </c>
      <c r="C23" s="47" t="s">
        <v>162</v>
      </c>
      <c r="D23" s="56">
        <v>0</v>
      </c>
      <c r="E23" s="147"/>
    </row>
    <row r="24" spans="1:5" ht="13.15">
      <c r="A24" s="53"/>
      <c r="B24" s="54"/>
      <c r="C24" s="63" t="s">
        <v>109</v>
      </c>
      <c r="D24" s="70">
        <f>D16+SUM(D18:D23)</f>
        <v>2</v>
      </c>
      <c r="E24" s="65"/>
    </row>
    <row r="25" spans="1:5" ht="13.15">
      <c r="A25" s="53"/>
      <c r="B25" s="54"/>
      <c r="C25" s="63" t="s">
        <v>111</v>
      </c>
      <c r="D25" s="71">
        <f>ROUND((D24/35*15),2)</f>
        <v>0.86</v>
      </c>
      <c r="E25" s="65"/>
    </row>
    <row r="26" spans="1:5" ht="13.15">
      <c r="A26" s="53"/>
      <c r="B26" s="54"/>
      <c r="C26" s="63"/>
      <c r="D26" s="72"/>
      <c r="E26" s="65"/>
    </row>
    <row r="27" spans="1:5" ht="13.15">
      <c r="A27" s="53" t="s">
        <v>163</v>
      </c>
      <c r="B27" s="61"/>
      <c r="C27" s="55" t="s">
        <v>164</v>
      </c>
      <c r="D27" s="56"/>
      <c r="E27" s="45"/>
    </row>
    <row r="28" spans="1:5" ht="13.15">
      <c r="A28" s="53"/>
      <c r="B28" s="57" t="s">
        <v>155</v>
      </c>
      <c r="C28" s="58" t="s">
        <v>165</v>
      </c>
      <c r="D28" s="59"/>
      <c r="E28" s="60"/>
    </row>
    <row r="29" spans="1:5" ht="13.15">
      <c r="A29" s="53"/>
      <c r="B29" s="66" t="s">
        <v>166</v>
      </c>
      <c r="C29" s="47" t="s">
        <v>33</v>
      </c>
      <c r="D29" s="56">
        <v>0</v>
      </c>
      <c r="E29" s="67"/>
    </row>
    <row r="30" spans="1:5" ht="13.15">
      <c r="A30" s="53"/>
      <c r="B30" s="66" t="s">
        <v>167</v>
      </c>
      <c r="C30" s="47" t="s">
        <v>35</v>
      </c>
      <c r="D30" s="56">
        <v>0</v>
      </c>
      <c r="E30" s="67"/>
    </row>
    <row r="31" spans="1:5" ht="13.15">
      <c r="A31" s="53"/>
      <c r="B31" s="66" t="s">
        <v>168</v>
      </c>
      <c r="C31" s="47" t="s">
        <v>37</v>
      </c>
      <c r="D31" s="56">
        <v>1</v>
      </c>
      <c r="E31" s="73"/>
    </row>
    <row r="32" spans="1:5" ht="13.15">
      <c r="A32" s="53"/>
      <c r="B32" s="66" t="s">
        <v>169</v>
      </c>
      <c r="C32" s="47" t="s">
        <v>43</v>
      </c>
      <c r="D32" s="56">
        <v>0</v>
      </c>
      <c r="E32" s="62"/>
    </row>
    <row r="33" spans="1:5" ht="13.15">
      <c r="A33" s="53"/>
      <c r="B33" s="66" t="s">
        <v>170</v>
      </c>
      <c r="C33" s="47" t="s">
        <v>47</v>
      </c>
      <c r="D33" s="56">
        <v>1</v>
      </c>
      <c r="E33" s="62"/>
    </row>
    <row r="34" spans="1:5" ht="13.15">
      <c r="A34" s="53"/>
      <c r="B34" s="66" t="s">
        <v>171</v>
      </c>
      <c r="C34" s="47" t="s">
        <v>49</v>
      </c>
      <c r="D34" s="56">
        <v>1</v>
      </c>
      <c r="E34" s="74"/>
    </row>
    <row r="35" spans="1:5" ht="13.15">
      <c r="A35" s="53"/>
      <c r="B35" s="66" t="s">
        <v>172</v>
      </c>
      <c r="C35" s="47" t="s">
        <v>51</v>
      </c>
      <c r="D35" s="56">
        <v>0</v>
      </c>
      <c r="E35" s="67"/>
    </row>
    <row r="36" spans="1:5" ht="13.15">
      <c r="A36" s="53"/>
      <c r="B36" s="54"/>
      <c r="C36" s="63" t="s">
        <v>109</v>
      </c>
      <c r="D36" s="70">
        <f>SUM(D29:D35)</f>
        <v>3</v>
      </c>
      <c r="E36" s="65"/>
    </row>
    <row r="37" spans="1:5" ht="13.15">
      <c r="A37" s="53"/>
      <c r="B37" s="54"/>
      <c r="C37" s="63" t="s">
        <v>111</v>
      </c>
      <c r="D37" s="71">
        <f>ROUND((D36/35*10),2)</f>
        <v>0.86</v>
      </c>
      <c r="E37" s="65"/>
    </row>
    <row r="38" spans="1:5" ht="13.15">
      <c r="A38" s="53"/>
      <c r="B38" s="54"/>
      <c r="C38" s="63"/>
      <c r="D38" s="72"/>
      <c r="E38" s="65"/>
    </row>
    <row r="39" spans="1:5" ht="13.15">
      <c r="A39" s="53" t="s">
        <v>173</v>
      </c>
      <c r="B39" s="61"/>
      <c r="C39" s="55" t="s">
        <v>174</v>
      </c>
      <c r="D39" s="56"/>
      <c r="E39" s="45"/>
    </row>
    <row r="40" spans="1:5" ht="13.15">
      <c r="A40" s="53"/>
      <c r="B40" s="57" t="s">
        <v>175</v>
      </c>
      <c r="C40" s="58" t="s">
        <v>176</v>
      </c>
      <c r="D40" s="59"/>
      <c r="E40" s="60"/>
    </row>
    <row r="41" spans="1:5" ht="13.15">
      <c r="A41" s="53"/>
      <c r="B41" s="66" t="s">
        <v>177</v>
      </c>
      <c r="C41" s="47" t="s">
        <v>60</v>
      </c>
      <c r="D41" s="56">
        <v>0</v>
      </c>
      <c r="E41" s="62"/>
    </row>
    <row r="42" spans="1:5" ht="13.15">
      <c r="A42" s="53"/>
      <c r="B42" s="66" t="s">
        <v>178</v>
      </c>
      <c r="C42" s="47" t="s">
        <v>179</v>
      </c>
      <c r="D42" s="56">
        <v>0</v>
      </c>
      <c r="E42" s="62"/>
    </row>
    <row r="43" spans="1:5" ht="13.15">
      <c r="A43" s="53"/>
      <c r="B43" s="66" t="s">
        <v>180</v>
      </c>
      <c r="C43" s="47" t="s">
        <v>64</v>
      </c>
      <c r="D43" s="56">
        <v>0</v>
      </c>
      <c r="E43" s="62"/>
    </row>
    <row r="44" spans="1:5" ht="13.15">
      <c r="A44" s="53"/>
      <c r="B44" s="66" t="s">
        <v>181</v>
      </c>
      <c r="C44" s="47" t="s">
        <v>182</v>
      </c>
      <c r="D44" s="56">
        <v>0</v>
      </c>
      <c r="E44" s="62"/>
    </row>
    <row r="45" spans="1:5" ht="13.15">
      <c r="A45" s="53"/>
      <c r="B45" s="54"/>
      <c r="C45" s="63" t="s">
        <v>109</v>
      </c>
      <c r="D45" s="64">
        <f>SUM(D41:D44)</f>
        <v>0</v>
      </c>
      <c r="E45" s="65"/>
    </row>
    <row r="46" spans="1:5" ht="13.15">
      <c r="A46" s="53"/>
      <c r="B46" s="54"/>
      <c r="C46" s="63" t="s">
        <v>111</v>
      </c>
      <c r="D46" s="71">
        <f>ROUND((D45/20*10),2)</f>
        <v>0</v>
      </c>
      <c r="E46" s="65"/>
    </row>
    <row r="47" spans="1:5" ht="13.15">
      <c r="A47" s="53"/>
      <c r="B47" s="54"/>
      <c r="C47" s="63"/>
      <c r="D47" s="72"/>
      <c r="E47" s="65"/>
    </row>
    <row r="48" spans="1:5" ht="13.15">
      <c r="A48" s="53" t="s">
        <v>183</v>
      </c>
      <c r="B48" s="54"/>
      <c r="C48" s="75" t="s">
        <v>184</v>
      </c>
      <c r="D48" s="72"/>
      <c r="E48" s="65"/>
    </row>
    <row r="49" spans="1:12" ht="13.15">
      <c r="A49" s="53"/>
      <c r="B49" s="57" t="s">
        <v>185</v>
      </c>
      <c r="C49" s="76" t="s">
        <v>186</v>
      </c>
      <c r="D49" s="59"/>
      <c r="E49" s="60"/>
    </row>
    <row r="50" spans="1:12" ht="13.15">
      <c r="A50" s="45"/>
      <c r="B50" s="45">
        <v>4.0999999999999996</v>
      </c>
      <c r="C50" s="68" t="s">
        <v>187</v>
      </c>
      <c r="D50" s="56">
        <f>[1]Sheet1!$I$8</f>
        <v>1</v>
      </c>
      <c r="E50" s="45"/>
      <c r="K50" s="91"/>
      <c r="L50" s="91"/>
    </row>
    <row r="51" spans="1:12" ht="13.15">
      <c r="A51" s="148"/>
      <c r="B51" s="45">
        <v>4.2</v>
      </c>
      <c r="C51" s="68" t="s">
        <v>188</v>
      </c>
      <c r="D51" s="56">
        <f>[1]Sheet1!$I$9</f>
        <v>0</v>
      </c>
      <c r="E51" s="45"/>
      <c r="K51" s="91"/>
      <c r="L51" s="91"/>
    </row>
    <row r="52" spans="1:12" ht="13.15">
      <c r="A52" s="148"/>
      <c r="B52" s="45">
        <v>4.3</v>
      </c>
      <c r="C52" s="68" t="s">
        <v>189</v>
      </c>
      <c r="D52" s="56">
        <f>[1]Sheet1!$I$10</f>
        <v>0</v>
      </c>
      <c r="E52" s="45"/>
      <c r="K52" s="91"/>
      <c r="L52" s="91"/>
    </row>
    <row r="53" spans="1:12" ht="13.15">
      <c r="A53" s="148"/>
      <c r="B53" s="45">
        <v>4.4000000000000004</v>
      </c>
      <c r="C53" s="68" t="s">
        <v>190</v>
      </c>
      <c r="D53" s="56">
        <f>[1]Sheet1!$I$11</f>
        <v>1</v>
      </c>
      <c r="E53" s="45"/>
      <c r="K53" s="91"/>
      <c r="L53" s="91"/>
    </row>
    <row r="54" spans="1:12" ht="13.15">
      <c r="A54" s="148"/>
      <c r="B54" s="45">
        <v>4.5</v>
      </c>
      <c r="C54" s="68" t="s">
        <v>191</v>
      </c>
      <c r="D54" s="56">
        <f>[1]Sheet1!$I$12</f>
        <v>0</v>
      </c>
      <c r="E54" s="45"/>
      <c r="K54" s="91"/>
      <c r="L54" s="91"/>
    </row>
    <row r="55" spans="1:12" ht="13.15">
      <c r="A55" s="148"/>
      <c r="B55" s="45">
        <v>4.5999999999999996</v>
      </c>
      <c r="C55" s="68" t="s">
        <v>192</v>
      </c>
      <c r="D55" s="56">
        <f>[1]Sheet1!$I$13</f>
        <v>3</v>
      </c>
      <c r="E55" s="45"/>
      <c r="K55" s="91"/>
      <c r="L55" s="91"/>
    </row>
    <row r="56" spans="1:12" ht="13.15">
      <c r="A56" s="146"/>
      <c r="B56" s="45"/>
      <c r="C56" s="94" t="s">
        <v>109</v>
      </c>
      <c r="D56" s="70">
        <f>SUM(D50:D55)</f>
        <v>5</v>
      </c>
      <c r="E56" s="65"/>
    </row>
    <row r="57" spans="1:12" ht="13.15">
      <c r="A57" s="53"/>
      <c r="B57" s="54"/>
      <c r="C57" s="63" t="s">
        <v>111</v>
      </c>
      <c r="D57" s="71">
        <f>ROUND((D56/30*60),2)</f>
        <v>10</v>
      </c>
      <c r="E57" s="65"/>
    </row>
    <row r="58" spans="1:12" ht="13.15">
      <c r="A58" s="53"/>
      <c r="B58" s="54"/>
      <c r="C58" s="63"/>
      <c r="D58" s="72"/>
      <c r="E58" s="65"/>
    </row>
    <row r="59" spans="1:12" ht="13.15">
      <c r="A59" s="53" t="s">
        <v>193</v>
      </c>
      <c r="B59" s="54"/>
      <c r="C59" s="75" t="s">
        <v>194</v>
      </c>
      <c r="D59" s="92"/>
      <c r="E59" s="65"/>
    </row>
    <row r="60" spans="1:12" ht="13.15">
      <c r="A60" s="53"/>
      <c r="B60" s="57" t="s">
        <v>195</v>
      </c>
      <c r="C60" s="76" t="s">
        <v>196</v>
      </c>
      <c r="D60" s="59"/>
      <c r="E60" s="60"/>
    </row>
    <row r="61" spans="1:12" ht="13.15">
      <c r="A61" s="53"/>
      <c r="B61" s="66" t="s">
        <v>197</v>
      </c>
      <c r="C61" s="47" t="s">
        <v>76</v>
      </c>
      <c r="D61" s="56">
        <v>1</v>
      </c>
      <c r="E61" s="73"/>
    </row>
    <row r="62" spans="1:12" ht="13.15">
      <c r="A62" s="53"/>
      <c r="B62" s="66" t="s">
        <v>198</v>
      </c>
      <c r="C62" s="47" t="s">
        <v>199</v>
      </c>
      <c r="D62" s="56">
        <v>1</v>
      </c>
      <c r="E62" s="73"/>
    </row>
    <row r="63" spans="1:12" ht="13.15">
      <c r="A63" s="53"/>
      <c r="B63" s="66" t="s">
        <v>200</v>
      </c>
      <c r="C63" s="47" t="s">
        <v>80</v>
      </c>
      <c r="D63" s="56">
        <v>1</v>
      </c>
      <c r="E63" s="73"/>
    </row>
    <row r="64" spans="1:12" ht="13.15">
      <c r="A64" s="53"/>
      <c r="B64" s="54"/>
      <c r="C64" s="63" t="s">
        <v>109</v>
      </c>
      <c r="D64" s="70">
        <f>SUM(D61:D63)</f>
        <v>3</v>
      </c>
      <c r="E64" s="65"/>
    </row>
    <row r="65" spans="1:5" ht="13.15">
      <c r="A65" s="53"/>
      <c r="B65" s="54"/>
      <c r="C65" s="63" t="s">
        <v>111</v>
      </c>
      <c r="D65" s="71">
        <f>ROUND((D64/15*5),2)</f>
        <v>1</v>
      </c>
      <c r="E65" s="65"/>
    </row>
    <row r="66" spans="1:5" ht="13.15">
      <c r="A66" s="53"/>
      <c r="B66" s="54"/>
      <c r="C66" s="63"/>
      <c r="D66" s="77"/>
      <c r="E66" s="65"/>
    </row>
    <row r="67" spans="1:5" ht="15">
      <c r="A67" s="78"/>
      <c r="B67" s="79"/>
      <c r="C67" s="80" t="s">
        <v>201</v>
      </c>
      <c r="D67" s="81">
        <f>ROUND((D65+D57+D46+D37+D25),2)</f>
        <v>12.72</v>
      </c>
      <c r="E67" s="79"/>
    </row>
    <row r="69" spans="1:5" ht="13.15">
      <c r="A69" s="53" t="s">
        <v>202</v>
      </c>
      <c r="B69" s="61"/>
      <c r="C69" s="55" t="s">
        <v>203</v>
      </c>
      <c r="D69" s="56"/>
      <c r="E69" s="45"/>
    </row>
    <row r="70" spans="1:5" ht="13.15">
      <c r="A70" s="53"/>
      <c r="B70" s="57"/>
      <c r="C70" s="58" t="s">
        <v>90</v>
      </c>
      <c r="D70" s="59"/>
      <c r="E70" s="60"/>
    </row>
    <row r="71" spans="1:5">
      <c r="A71" s="78"/>
      <c r="B71" s="66"/>
      <c r="C71" s="47" t="s">
        <v>204</v>
      </c>
      <c r="D71" s="56">
        <v>0</v>
      </c>
      <c r="E71" s="67"/>
    </row>
    <row r="72" spans="1:5" ht="13.15">
      <c r="A72" s="53"/>
      <c r="B72" s="54"/>
      <c r="C72" s="63" t="s">
        <v>109</v>
      </c>
      <c r="D72" s="70">
        <f>SUM(D71)</f>
        <v>0</v>
      </c>
      <c r="E72" s="65"/>
    </row>
    <row r="73" spans="1:5" ht="13.15">
      <c r="A73" s="78"/>
      <c r="B73" s="54"/>
      <c r="C73" s="63" t="s">
        <v>111</v>
      </c>
      <c r="D73" s="71"/>
      <c r="E73" s="65"/>
    </row>
    <row r="76" spans="1:5" ht="25.5" customHeight="1">
      <c r="A76" s="149" t="s">
        <v>205</v>
      </c>
      <c r="B76" s="149"/>
      <c r="C76" s="90"/>
      <c r="E76" s="41"/>
    </row>
  </sheetData>
  <mergeCells count="9">
    <mergeCell ref="A6:B6"/>
    <mergeCell ref="C6:D6"/>
    <mergeCell ref="A76:B76"/>
    <mergeCell ref="C1:E1"/>
    <mergeCell ref="C2:E2"/>
    <mergeCell ref="A4:B4"/>
    <mergeCell ref="C4:D4"/>
    <mergeCell ref="A5:B5"/>
    <mergeCell ref="C5:D5"/>
  </mergeCells>
  <conditionalFormatting sqref="D15">
    <cfRule type="cellIs" dxfId="41" priority="19" stopIfTrue="1" operator="equal">
      <formula>0</formula>
    </cfRule>
    <cfRule type="cellIs" dxfId="40" priority="20" stopIfTrue="1" operator="between">
      <formula>1</formula>
      <formula>5</formula>
    </cfRule>
    <cfRule type="cellIs" dxfId="39" priority="21" stopIfTrue="1" operator="greaterThan">
      <formula>5</formula>
    </cfRule>
  </conditionalFormatting>
  <conditionalFormatting sqref="D18:D23">
    <cfRule type="cellIs" dxfId="38" priority="16" stopIfTrue="1" operator="equal">
      <formula>0</formula>
    </cfRule>
    <cfRule type="cellIs" dxfId="37" priority="17" stopIfTrue="1" operator="between">
      <formula>1</formula>
      <formula>5</formula>
    </cfRule>
    <cfRule type="cellIs" dxfId="36" priority="18" stopIfTrue="1" operator="greaterThan">
      <formula>5</formula>
    </cfRule>
  </conditionalFormatting>
  <conditionalFormatting sqref="D29:D35">
    <cfRule type="cellIs" dxfId="35" priority="1" stopIfTrue="1" operator="equal">
      <formula>0</formula>
    </cfRule>
    <cfRule type="cellIs" dxfId="34" priority="2" stopIfTrue="1" operator="between">
      <formula>1</formula>
      <formula>5</formula>
    </cfRule>
    <cfRule type="cellIs" dxfId="33" priority="3" stopIfTrue="1" operator="greaterThan">
      <formula>5</formula>
    </cfRule>
  </conditionalFormatting>
  <conditionalFormatting sqref="D41:D44">
    <cfRule type="cellIs" dxfId="32" priority="13" stopIfTrue="1" operator="equal">
      <formula>0</formula>
    </cfRule>
    <cfRule type="cellIs" dxfId="31" priority="14" stopIfTrue="1" operator="between">
      <formula>1</formula>
      <formula>5</formula>
    </cfRule>
    <cfRule type="cellIs" dxfId="30" priority="15" stopIfTrue="1" operator="greaterThan">
      <formula>5</formula>
    </cfRule>
  </conditionalFormatting>
  <conditionalFormatting sqref="D50:D55">
    <cfRule type="cellIs" dxfId="29" priority="4" stopIfTrue="1" operator="equal">
      <formula>0</formula>
    </cfRule>
    <cfRule type="cellIs" dxfId="28" priority="5" stopIfTrue="1" operator="between">
      <formula>1</formula>
      <formula>5</formula>
    </cfRule>
    <cfRule type="cellIs" dxfId="27" priority="6" stopIfTrue="1" operator="greaterThan">
      <formula>5</formula>
    </cfRule>
  </conditionalFormatting>
  <conditionalFormatting sqref="D61:D63">
    <cfRule type="cellIs" dxfId="26" priority="7" stopIfTrue="1" operator="equal">
      <formula>0</formula>
    </cfRule>
    <cfRule type="cellIs" dxfId="25" priority="8" stopIfTrue="1" operator="between">
      <formula>1</formula>
      <formula>5</formula>
    </cfRule>
    <cfRule type="cellIs" dxfId="24" priority="9" stopIfTrue="1" operator="greaterThan">
      <formula>5</formula>
    </cfRule>
  </conditionalFormatting>
  <conditionalFormatting sqref="D71">
    <cfRule type="cellIs" dxfId="23" priority="10" stopIfTrue="1" operator="equal">
      <formula>0</formula>
    </cfRule>
    <cfRule type="cellIs" dxfId="22" priority="11" stopIfTrue="1" operator="between">
      <formula>1</formula>
      <formula>5</formula>
    </cfRule>
    <cfRule type="cellIs" dxfId="21" priority="12" stopIfTrue="1" operator="greaterThan">
      <formula>5</formula>
    </cfRule>
  </conditionalFormatting>
  <dataValidations count="1">
    <dataValidation type="list" allowBlank="1" showInputMessage="1" showErrorMessage="1" promptTitle="Score" prompt="0         Not Available_x000a_1         Very Weak_x000a_2         So-so_x000a_3         Acceptable_x000a_4         Good_x000a_5         Very Good" sqref="D61:D63 D41:D44 D15 D18:D23 D71 D50:D55 D29:D35" xr:uid="{E541028A-4F6C-46FA-A580-D6F6B834ED2F}">
      <formula1>"0,1,2,3,4,5"</formula1>
    </dataValidation>
  </dataValidations>
  <pageMargins left="0.7" right="0.56000000000000005" top="0.75" bottom="0.42" header="0.3" footer="0.3"/>
  <pageSetup paperSize="9" scale="64" fitToWidth="0" orientation="portrait" r:id="rId1"/>
  <colBreaks count="2" manualBreakCount="2">
    <brk id="5" max="73" man="1"/>
    <brk id="6" max="7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787F-CBC9-4FF2-8948-91BCDF4F3271}">
  <sheetPr>
    <tabColor rgb="FFFFC000"/>
    <pageSetUpPr fitToPage="1"/>
  </sheetPr>
  <dimension ref="A1:L76"/>
  <sheetViews>
    <sheetView showGridLines="0" view="pageBreakPreview" topLeftCell="A20" zoomScaleNormal="100" zoomScaleSheetLayoutView="100" workbookViewId="0">
      <selection activeCell="E32" sqref="E32"/>
    </sheetView>
  </sheetViews>
  <sheetFormatPr defaultRowHeight="12.75"/>
  <cols>
    <col min="1" max="1" width="5.85546875" customWidth="1"/>
    <col min="2" max="2" width="8.5703125" bestFit="1" customWidth="1"/>
    <col min="3" max="3" width="38" customWidth="1"/>
    <col min="4" max="4" width="16.5703125" customWidth="1"/>
    <col min="5" max="5" width="65.42578125" customWidth="1"/>
  </cols>
  <sheetData>
    <row r="1" spans="1:5" ht="18.75" customHeight="1">
      <c r="A1" s="44"/>
      <c r="B1" s="44"/>
      <c r="C1" s="150" t="s">
        <v>148</v>
      </c>
      <c r="D1" s="150"/>
      <c r="E1" s="150"/>
    </row>
    <row r="2" spans="1:5" ht="32.25" customHeight="1">
      <c r="A2" s="43"/>
      <c r="B2" s="43"/>
      <c r="C2" s="151" t="s">
        <v>121</v>
      </c>
      <c r="D2" s="152"/>
      <c r="E2" s="153"/>
    </row>
    <row r="4" spans="1:5" ht="30" customHeight="1">
      <c r="A4" s="154" t="s">
        <v>149</v>
      </c>
      <c r="B4" s="154"/>
      <c r="C4" s="155" t="str">
        <f>Summary!C19</f>
        <v>RAFATECH SYSTEM SDN BHD</v>
      </c>
      <c r="D4" s="155"/>
      <c r="E4" s="42"/>
    </row>
    <row r="5" spans="1:5" ht="30" customHeight="1">
      <c r="A5" s="154" t="s">
        <v>150</v>
      </c>
      <c r="B5" s="154"/>
      <c r="C5" s="156">
        <f>Summary!C7</f>
        <v>45860</v>
      </c>
      <c r="D5" s="156"/>
      <c r="E5" s="1"/>
    </row>
    <row r="6" spans="1:5" ht="30" customHeight="1">
      <c r="A6" s="154" t="s">
        <v>130</v>
      </c>
      <c r="B6" s="154"/>
      <c r="C6" s="157" t="str">
        <f>Summary!C6</f>
        <v>Mohd Faiz Ibrahim Sawal</v>
      </c>
      <c r="D6" s="158"/>
    </row>
    <row r="7" spans="1:5" ht="15">
      <c r="A7" s="93"/>
      <c r="B7" s="93"/>
      <c r="C7" s="46"/>
      <c r="D7" s="3"/>
    </row>
    <row r="8" spans="1:5" ht="13.15">
      <c r="A8" s="2"/>
      <c r="B8" s="2"/>
      <c r="C8" s="1"/>
      <c r="D8" s="3"/>
    </row>
    <row r="9" spans="1:5" ht="13.15">
      <c r="A9" s="2"/>
      <c r="B9" s="2"/>
      <c r="C9" s="4" t="s">
        <v>5</v>
      </c>
      <c r="D9" s="3"/>
    </row>
    <row r="10" spans="1:5" ht="13.15">
      <c r="A10" s="2"/>
      <c r="B10" s="2"/>
      <c r="C10" s="1" t="s">
        <v>6</v>
      </c>
      <c r="D10" s="3"/>
    </row>
    <row r="11" spans="1:5" ht="13.15">
      <c r="A11" s="2"/>
      <c r="B11" s="2"/>
      <c r="C11" s="1"/>
      <c r="D11" s="3"/>
    </row>
    <row r="12" spans="1:5" ht="26.25">
      <c r="A12" s="50" t="s">
        <v>7</v>
      </c>
      <c r="B12" s="51" t="s">
        <v>8</v>
      </c>
      <c r="C12" s="52"/>
      <c r="D12" s="50" t="s">
        <v>9</v>
      </c>
      <c r="E12" s="50" t="s">
        <v>10</v>
      </c>
    </row>
    <row r="13" spans="1:5" ht="13.15">
      <c r="A13" s="53" t="s">
        <v>151</v>
      </c>
      <c r="B13" s="54"/>
      <c r="C13" s="55" t="s">
        <v>152</v>
      </c>
      <c r="D13" s="56"/>
      <c r="E13" s="45"/>
    </row>
    <row r="14" spans="1:5" ht="11.25" customHeight="1">
      <c r="A14" s="53"/>
      <c r="B14" s="57" t="s">
        <v>153</v>
      </c>
      <c r="C14" s="58" t="s">
        <v>13</v>
      </c>
      <c r="D14" s="59"/>
      <c r="E14" s="60"/>
    </row>
    <row r="15" spans="1:5" ht="13.15">
      <c r="A15" s="53"/>
      <c r="B15" s="61" t="s">
        <v>154</v>
      </c>
      <c r="C15" s="47" t="s">
        <v>14</v>
      </c>
      <c r="D15" s="56">
        <v>3</v>
      </c>
      <c r="E15" s="62"/>
    </row>
    <row r="16" spans="1:5" ht="11.25" customHeight="1">
      <c r="A16" s="53"/>
      <c r="B16" s="54"/>
      <c r="C16" s="63" t="s">
        <v>109</v>
      </c>
      <c r="D16" s="64">
        <f>SUM(D15)</f>
        <v>3</v>
      </c>
      <c r="E16" s="65"/>
    </row>
    <row r="17" spans="1:5" ht="13.15">
      <c r="A17" s="53"/>
      <c r="B17" s="57" t="s">
        <v>155</v>
      </c>
      <c r="C17" s="58" t="s">
        <v>16</v>
      </c>
      <c r="D17" s="59"/>
      <c r="E17" s="60"/>
    </row>
    <row r="18" spans="1:5" ht="13.15">
      <c r="A18" s="53"/>
      <c r="B18" s="66" t="s">
        <v>154</v>
      </c>
      <c r="C18" s="47" t="s">
        <v>18</v>
      </c>
      <c r="D18" s="56">
        <v>5</v>
      </c>
      <c r="E18" s="62"/>
    </row>
    <row r="19" spans="1:5" ht="13.15">
      <c r="A19" s="53"/>
      <c r="B19" s="66" t="s">
        <v>156</v>
      </c>
      <c r="C19" s="47" t="s">
        <v>157</v>
      </c>
      <c r="D19" s="56">
        <v>3</v>
      </c>
      <c r="E19" s="67"/>
    </row>
    <row r="20" spans="1:5" ht="13.15">
      <c r="A20" s="53"/>
      <c r="B20" s="66" t="s">
        <v>158</v>
      </c>
      <c r="C20" s="47" t="s">
        <v>22</v>
      </c>
      <c r="D20" s="56">
        <v>3</v>
      </c>
      <c r="E20" s="68"/>
    </row>
    <row r="21" spans="1:5" ht="13.15">
      <c r="A21" s="53"/>
      <c r="B21" s="66" t="s">
        <v>159</v>
      </c>
      <c r="C21" s="47" t="s">
        <v>24</v>
      </c>
      <c r="D21" s="56">
        <v>3</v>
      </c>
      <c r="E21" s="69"/>
    </row>
    <row r="22" spans="1:5" ht="13.15">
      <c r="A22" s="53"/>
      <c r="B22" s="66" t="s">
        <v>160</v>
      </c>
      <c r="C22" s="47" t="s">
        <v>26</v>
      </c>
      <c r="D22" s="56">
        <v>3</v>
      </c>
      <c r="E22" s="134"/>
    </row>
    <row r="23" spans="1:5" ht="13.15">
      <c r="A23" s="53"/>
      <c r="B23" s="66" t="s">
        <v>161</v>
      </c>
      <c r="C23" s="47" t="s">
        <v>162</v>
      </c>
      <c r="D23" s="56">
        <v>3</v>
      </c>
      <c r="E23" s="147"/>
    </row>
    <row r="24" spans="1:5" ht="13.15">
      <c r="A24" s="53"/>
      <c r="B24" s="54"/>
      <c r="C24" s="63" t="s">
        <v>109</v>
      </c>
      <c r="D24" s="70">
        <f>D16+SUM(D18:D23)</f>
        <v>23</v>
      </c>
      <c r="E24" s="65"/>
    </row>
    <row r="25" spans="1:5" ht="13.15">
      <c r="A25" s="53"/>
      <c r="B25" s="54"/>
      <c r="C25" s="63" t="s">
        <v>111</v>
      </c>
      <c r="D25" s="71">
        <f>ROUND((D24/35*15),2)</f>
        <v>9.86</v>
      </c>
      <c r="E25" s="65"/>
    </row>
    <row r="26" spans="1:5" ht="13.15">
      <c r="A26" s="53"/>
      <c r="B26" s="54"/>
      <c r="C26" s="63"/>
      <c r="D26" s="72"/>
      <c r="E26" s="65"/>
    </row>
    <row r="27" spans="1:5" ht="13.15">
      <c r="A27" s="53" t="s">
        <v>163</v>
      </c>
      <c r="B27" s="61"/>
      <c r="C27" s="55" t="s">
        <v>164</v>
      </c>
      <c r="D27" s="56"/>
      <c r="E27" s="45"/>
    </row>
    <row r="28" spans="1:5" ht="13.15">
      <c r="A28" s="53"/>
      <c r="B28" s="57" t="s">
        <v>155</v>
      </c>
      <c r="C28" s="58" t="s">
        <v>165</v>
      </c>
      <c r="D28" s="59"/>
      <c r="E28" s="60"/>
    </row>
    <row r="29" spans="1:5" ht="13.15">
      <c r="A29" s="53"/>
      <c r="B29" s="66" t="s">
        <v>166</v>
      </c>
      <c r="C29" s="47" t="s">
        <v>33</v>
      </c>
      <c r="D29" s="56">
        <v>4</v>
      </c>
      <c r="E29" s="67"/>
    </row>
    <row r="30" spans="1:5" ht="13.15">
      <c r="A30" s="53"/>
      <c r="B30" s="66" t="s">
        <v>167</v>
      </c>
      <c r="C30" s="47" t="s">
        <v>35</v>
      </c>
      <c r="D30" s="56">
        <v>2</v>
      </c>
      <c r="E30" s="67"/>
    </row>
    <row r="31" spans="1:5" ht="13.15">
      <c r="A31" s="53"/>
      <c r="B31" s="66" t="s">
        <v>168</v>
      </c>
      <c r="C31" s="47" t="s">
        <v>37</v>
      </c>
      <c r="D31" s="56">
        <v>3</v>
      </c>
      <c r="E31" s="73"/>
    </row>
    <row r="32" spans="1:5" ht="13.15">
      <c r="A32" s="53"/>
      <c r="B32" s="66" t="s">
        <v>169</v>
      </c>
      <c r="C32" s="47" t="s">
        <v>43</v>
      </c>
      <c r="D32" s="56">
        <v>3</v>
      </c>
      <c r="E32" s="62"/>
    </row>
    <row r="33" spans="1:5" ht="13.15">
      <c r="A33" s="53"/>
      <c r="B33" s="66" t="s">
        <v>170</v>
      </c>
      <c r="C33" s="47" t="s">
        <v>47</v>
      </c>
      <c r="D33" s="56">
        <v>3</v>
      </c>
      <c r="E33" s="62"/>
    </row>
    <row r="34" spans="1:5" ht="13.15">
      <c r="A34" s="53"/>
      <c r="B34" s="66" t="s">
        <v>171</v>
      </c>
      <c r="C34" s="47" t="s">
        <v>49</v>
      </c>
      <c r="D34" s="56">
        <v>2</v>
      </c>
      <c r="E34" s="74"/>
    </row>
    <row r="35" spans="1:5" ht="13.15">
      <c r="A35" s="53"/>
      <c r="B35" s="66" t="s">
        <v>172</v>
      </c>
      <c r="C35" s="47" t="s">
        <v>51</v>
      </c>
      <c r="D35" s="56">
        <v>3</v>
      </c>
      <c r="E35" s="67"/>
    </row>
    <row r="36" spans="1:5" ht="13.15">
      <c r="A36" s="53"/>
      <c r="B36" s="54"/>
      <c r="C36" s="63" t="s">
        <v>109</v>
      </c>
      <c r="D36" s="70">
        <f>SUM(D29:D35)</f>
        <v>20</v>
      </c>
      <c r="E36" s="65"/>
    </row>
    <row r="37" spans="1:5" ht="13.15">
      <c r="A37" s="53"/>
      <c r="B37" s="54"/>
      <c r="C37" s="63" t="s">
        <v>111</v>
      </c>
      <c r="D37" s="71">
        <f>ROUND((D36/35*10),2)</f>
        <v>5.71</v>
      </c>
      <c r="E37" s="65"/>
    </row>
    <row r="38" spans="1:5" ht="13.15">
      <c r="A38" s="53"/>
      <c r="B38" s="54"/>
      <c r="C38" s="63"/>
      <c r="D38" s="72"/>
      <c r="E38" s="65"/>
    </row>
    <row r="39" spans="1:5" ht="13.15">
      <c r="A39" s="53" t="s">
        <v>173</v>
      </c>
      <c r="B39" s="61"/>
      <c r="C39" s="55" t="s">
        <v>174</v>
      </c>
      <c r="D39" s="56"/>
      <c r="E39" s="45"/>
    </row>
    <row r="40" spans="1:5" ht="13.15">
      <c r="A40" s="53"/>
      <c r="B40" s="57" t="s">
        <v>175</v>
      </c>
      <c r="C40" s="58" t="s">
        <v>176</v>
      </c>
      <c r="D40" s="59"/>
      <c r="E40" s="60"/>
    </row>
    <row r="41" spans="1:5" ht="13.15">
      <c r="A41" s="53"/>
      <c r="B41" s="66" t="s">
        <v>177</v>
      </c>
      <c r="C41" s="47" t="s">
        <v>60</v>
      </c>
      <c r="D41" s="56">
        <v>4</v>
      </c>
      <c r="E41" s="62"/>
    </row>
    <row r="42" spans="1:5" ht="13.15">
      <c r="A42" s="53"/>
      <c r="B42" s="66" t="s">
        <v>178</v>
      </c>
      <c r="C42" s="47" t="s">
        <v>179</v>
      </c>
      <c r="D42" s="56">
        <v>5</v>
      </c>
      <c r="E42" s="62"/>
    </row>
    <row r="43" spans="1:5" ht="13.15">
      <c r="A43" s="53"/>
      <c r="B43" s="66" t="s">
        <v>180</v>
      </c>
      <c r="C43" s="47" t="s">
        <v>64</v>
      </c>
      <c r="D43" s="56">
        <v>4</v>
      </c>
      <c r="E43" s="62"/>
    </row>
    <row r="44" spans="1:5" ht="13.15">
      <c r="A44" s="53"/>
      <c r="B44" s="66" t="s">
        <v>181</v>
      </c>
      <c r="C44" s="47" t="s">
        <v>182</v>
      </c>
      <c r="D44" s="56">
        <v>2</v>
      </c>
      <c r="E44" s="62"/>
    </row>
    <row r="45" spans="1:5" ht="13.15">
      <c r="A45" s="53"/>
      <c r="B45" s="54"/>
      <c r="C45" s="63" t="s">
        <v>109</v>
      </c>
      <c r="D45" s="64">
        <f>SUM(D41:D44)</f>
        <v>15</v>
      </c>
      <c r="E45" s="65"/>
    </row>
    <row r="46" spans="1:5" ht="13.15">
      <c r="A46" s="53"/>
      <c r="B46" s="54"/>
      <c r="C46" s="63" t="s">
        <v>111</v>
      </c>
      <c r="D46" s="71">
        <f>ROUND((D45/20*10),2)</f>
        <v>7.5</v>
      </c>
      <c r="E46" s="65"/>
    </row>
    <row r="47" spans="1:5" ht="13.15">
      <c r="A47" s="53"/>
      <c r="B47" s="54"/>
      <c r="C47" s="63"/>
      <c r="D47" s="72"/>
      <c r="E47" s="65"/>
    </row>
    <row r="48" spans="1:5" ht="13.15">
      <c r="A48" s="53" t="s">
        <v>183</v>
      </c>
      <c r="B48" s="54"/>
      <c r="C48" s="75" t="s">
        <v>184</v>
      </c>
      <c r="D48" s="72"/>
      <c r="E48" s="65"/>
    </row>
    <row r="49" spans="1:12" ht="13.15">
      <c r="A49" s="53"/>
      <c r="B49" s="57" t="s">
        <v>185</v>
      </c>
      <c r="C49" s="76" t="s">
        <v>186</v>
      </c>
      <c r="D49" s="59"/>
      <c r="E49" s="60"/>
    </row>
    <row r="50" spans="1:12" ht="13.15">
      <c r="A50" s="45"/>
      <c r="B50" s="45">
        <v>4.0999999999999996</v>
      </c>
      <c r="C50" s="68" t="s">
        <v>187</v>
      </c>
      <c r="D50" s="56">
        <f>[1]Sheet1!$K$8</f>
        <v>5</v>
      </c>
      <c r="E50" s="45"/>
      <c r="K50" s="91"/>
      <c r="L50" s="91"/>
    </row>
    <row r="51" spans="1:12" ht="13.15">
      <c r="A51" s="148"/>
      <c r="B51" s="45">
        <v>4.2</v>
      </c>
      <c r="C51" s="68" t="s">
        <v>188</v>
      </c>
      <c r="D51" s="56">
        <f>[1]Sheet1!$K$9</f>
        <v>5</v>
      </c>
      <c r="E51" s="45"/>
      <c r="K51" s="91"/>
      <c r="L51" s="91"/>
    </row>
    <row r="52" spans="1:12" ht="13.15">
      <c r="A52" s="148"/>
      <c r="B52" s="45">
        <v>4.3</v>
      </c>
      <c r="C52" s="68" t="s">
        <v>189</v>
      </c>
      <c r="D52" s="56">
        <f>[1]Sheet1!$K$10</f>
        <v>5</v>
      </c>
      <c r="E52" s="45"/>
      <c r="K52" s="91"/>
      <c r="L52" s="91"/>
    </row>
    <row r="53" spans="1:12" ht="13.15">
      <c r="A53" s="148"/>
      <c r="B53" s="45">
        <v>4.4000000000000004</v>
      </c>
      <c r="C53" s="68" t="s">
        <v>190</v>
      </c>
      <c r="D53" s="56">
        <f>[1]Sheet1!$K$11</f>
        <v>3</v>
      </c>
      <c r="E53" s="45"/>
      <c r="K53" s="91"/>
      <c r="L53" s="91"/>
    </row>
    <row r="54" spans="1:12" ht="13.15">
      <c r="A54" s="148"/>
      <c r="B54" s="45">
        <v>4.5</v>
      </c>
      <c r="C54" s="68" t="s">
        <v>191</v>
      </c>
      <c r="D54" s="56">
        <f>[1]Sheet1!$K$12</f>
        <v>5</v>
      </c>
      <c r="E54" s="45"/>
      <c r="K54" s="91"/>
      <c r="L54" s="91"/>
    </row>
    <row r="55" spans="1:12" ht="13.15">
      <c r="A55" s="148"/>
      <c r="B55" s="45">
        <v>4.5999999999999996</v>
      </c>
      <c r="C55" s="68" t="s">
        <v>192</v>
      </c>
      <c r="D55" s="56">
        <f>[1]Sheet1!$K$13</f>
        <v>3</v>
      </c>
      <c r="E55" s="45"/>
      <c r="K55" s="91"/>
      <c r="L55" s="91"/>
    </row>
    <row r="56" spans="1:12" ht="13.15">
      <c r="A56" s="146"/>
      <c r="B56" s="45"/>
      <c r="C56" s="94" t="s">
        <v>109</v>
      </c>
      <c r="D56" s="70">
        <f>SUM(D50:D55)</f>
        <v>26</v>
      </c>
      <c r="E56" s="65"/>
    </row>
    <row r="57" spans="1:12" ht="13.15">
      <c r="A57" s="53"/>
      <c r="B57" s="54"/>
      <c r="C57" s="63" t="s">
        <v>111</v>
      </c>
      <c r="D57" s="71">
        <f>ROUND((D56/30*60),2)</f>
        <v>52</v>
      </c>
      <c r="E57" s="65"/>
    </row>
    <row r="58" spans="1:12" ht="13.15">
      <c r="A58" s="53"/>
      <c r="B58" s="54"/>
      <c r="C58" s="63"/>
      <c r="D58" s="72"/>
      <c r="E58" s="65"/>
    </row>
    <row r="59" spans="1:12" ht="13.15">
      <c r="A59" s="53" t="s">
        <v>193</v>
      </c>
      <c r="B59" s="54"/>
      <c r="C59" s="75" t="s">
        <v>194</v>
      </c>
      <c r="D59" s="92"/>
      <c r="E59" s="65"/>
    </row>
    <row r="60" spans="1:12" ht="13.15">
      <c r="A60" s="53"/>
      <c r="B60" s="57" t="s">
        <v>195</v>
      </c>
      <c r="C60" s="76" t="s">
        <v>196</v>
      </c>
      <c r="D60" s="59"/>
      <c r="E60" s="60"/>
    </row>
    <row r="61" spans="1:12" ht="13.15">
      <c r="A61" s="53"/>
      <c r="B61" s="66" t="s">
        <v>197</v>
      </c>
      <c r="C61" s="47" t="s">
        <v>76</v>
      </c>
      <c r="D61" s="56">
        <v>4</v>
      </c>
      <c r="E61" s="73"/>
    </row>
    <row r="62" spans="1:12" ht="13.15">
      <c r="A62" s="53"/>
      <c r="B62" s="66" t="s">
        <v>198</v>
      </c>
      <c r="C62" s="47" t="s">
        <v>199</v>
      </c>
      <c r="D62" s="56">
        <v>5</v>
      </c>
      <c r="E62" s="73"/>
    </row>
    <row r="63" spans="1:12" ht="13.15">
      <c r="A63" s="53"/>
      <c r="B63" s="66" t="s">
        <v>200</v>
      </c>
      <c r="C63" s="47" t="s">
        <v>80</v>
      </c>
      <c r="D63" s="56">
        <v>3</v>
      </c>
      <c r="E63" s="73"/>
    </row>
    <row r="64" spans="1:12" ht="13.15">
      <c r="A64" s="53"/>
      <c r="B64" s="54"/>
      <c r="C64" s="63" t="s">
        <v>109</v>
      </c>
      <c r="D64" s="70">
        <f>SUM(D61:D63)</f>
        <v>12</v>
      </c>
      <c r="E64" s="65"/>
    </row>
    <row r="65" spans="1:5" ht="13.15">
      <c r="A65" s="53"/>
      <c r="B65" s="54"/>
      <c r="C65" s="63" t="s">
        <v>111</v>
      </c>
      <c r="D65" s="71">
        <f>ROUND((D64/15*5),2)</f>
        <v>4</v>
      </c>
      <c r="E65" s="65"/>
    </row>
    <row r="66" spans="1:5" ht="13.15">
      <c r="A66" s="53"/>
      <c r="B66" s="54"/>
      <c r="C66" s="63"/>
      <c r="D66" s="77"/>
      <c r="E66" s="65"/>
    </row>
    <row r="67" spans="1:5" ht="15">
      <c r="A67" s="78"/>
      <c r="B67" s="79"/>
      <c r="C67" s="80" t="s">
        <v>201</v>
      </c>
      <c r="D67" s="81">
        <f>ROUND((D65+D57+D46+D37+D25),2)</f>
        <v>79.069999999999993</v>
      </c>
      <c r="E67" s="79"/>
    </row>
    <row r="69" spans="1:5" ht="13.15">
      <c r="A69" s="53" t="s">
        <v>202</v>
      </c>
      <c r="B69" s="61"/>
      <c r="C69" s="55" t="s">
        <v>203</v>
      </c>
      <c r="D69" s="56"/>
      <c r="E69" s="45"/>
    </row>
    <row r="70" spans="1:5" ht="13.15">
      <c r="A70" s="53"/>
      <c r="B70" s="57"/>
      <c r="C70" s="58" t="s">
        <v>90</v>
      </c>
      <c r="D70" s="59"/>
      <c r="E70" s="60"/>
    </row>
    <row r="71" spans="1:5">
      <c r="A71" s="78"/>
      <c r="B71" s="66"/>
      <c r="C71" s="47" t="s">
        <v>204</v>
      </c>
      <c r="D71" s="56">
        <v>2</v>
      </c>
      <c r="E71" s="67"/>
    </row>
    <row r="72" spans="1:5" ht="13.15">
      <c r="A72" s="53"/>
      <c r="B72" s="54"/>
      <c r="C72" s="63" t="s">
        <v>109</v>
      </c>
      <c r="D72" s="70">
        <f>SUM(D71)</f>
        <v>2</v>
      </c>
      <c r="E72" s="65"/>
    </row>
    <row r="73" spans="1:5" ht="13.15">
      <c r="A73" s="78"/>
      <c r="B73" s="54"/>
      <c r="C73" s="63" t="s">
        <v>111</v>
      </c>
      <c r="D73" s="71"/>
      <c r="E73" s="65"/>
    </row>
    <row r="76" spans="1:5" ht="25.5" customHeight="1">
      <c r="A76" s="149" t="s">
        <v>205</v>
      </c>
      <c r="B76" s="149"/>
      <c r="C76" s="90"/>
      <c r="E76" s="41"/>
    </row>
  </sheetData>
  <mergeCells count="9">
    <mergeCell ref="A6:B6"/>
    <mergeCell ref="C6:D6"/>
    <mergeCell ref="A76:B76"/>
    <mergeCell ref="C1:E1"/>
    <mergeCell ref="C2:E2"/>
    <mergeCell ref="A4:B4"/>
    <mergeCell ref="C4:D4"/>
    <mergeCell ref="A5:B5"/>
    <mergeCell ref="C5:D5"/>
  </mergeCells>
  <conditionalFormatting sqref="D15">
    <cfRule type="cellIs" dxfId="20" priority="19" stopIfTrue="1" operator="equal">
      <formula>0</formula>
    </cfRule>
    <cfRule type="cellIs" dxfId="19" priority="20" stopIfTrue="1" operator="between">
      <formula>1</formula>
      <formula>5</formula>
    </cfRule>
    <cfRule type="cellIs" dxfId="18" priority="21" stopIfTrue="1" operator="greaterThan">
      <formula>5</formula>
    </cfRule>
  </conditionalFormatting>
  <conditionalFormatting sqref="D18:D23">
    <cfRule type="cellIs" dxfId="17" priority="16" stopIfTrue="1" operator="equal">
      <formula>0</formula>
    </cfRule>
    <cfRule type="cellIs" dxfId="16" priority="17" stopIfTrue="1" operator="between">
      <formula>1</formula>
      <formula>5</formula>
    </cfRule>
    <cfRule type="cellIs" dxfId="15" priority="18" stopIfTrue="1" operator="greaterThan">
      <formula>5</formula>
    </cfRule>
  </conditionalFormatting>
  <conditionalFormatting sqref="D29:D35">
    <cfRule type="cellIs" dxfId="14" priority="13" stopIfTrue="1" operator="equal">
      <formula>0</formula>
    </cfRule>
    <cfRule type="cellIs" dxfId="13" priority="14" stopIfTrue="1" operator="between">
      <formula>1</formula>
      <formula>5</formula>
    </cfRule>
    <cfRule type="cellIs" dxfId="12" priority="15" stopIfTrue="1" operator="greaterThan">
      <formula>5</formula>
    </cfRule>
  </conditionalFormatting>
  <conditionalFormatting sqref="D41:D44">
    <cfRule type="cellIs" dxfId="11" priority="10" stopIfTrue="1" operator="equal">
      <formula>0</formula>
    </cfRule>
    <cfRule type="cellIs" dxfId="10" priority="11" stopIfTrue="1" operator="between">
      <formula>1</formula>
      <formula>5</formula>
    </cfRule>
    <cfRule type="cellIs" dxfId="9" priority="12" stopIfTrue="1" operator="greaterThan">
      <formula>5</formula>
    </cfRule>
  </conditionalFormatting>
  <conditionalFormatting sqref="D50:D55">
    <cfRule type="cellIs" dxfId="8" priority="1" stopIfTrue="1" operator="equal">
      <formula>0</formula>
    </cfRule>
    <cfRule type="cellIs" dxfId="7" priority="2" stopIfTrue="1" operator="between">
      <formula>1</formula>
      <formula>5</formula>
    </cfRule>
    <cfRule type="cellIs" dxfId="6" priority="3" stopIfTrue="1" operator="greaterThan">
      <formula>5</formula>
    </cfRule>
  </conditionalFormatting>
  <conditionalFormatting sqref="D61:D63">
    <cfRule type="cellIs" dxfId="5" priority="4" stopIfTrue="1" operator="equal">
      <formula>0</formula>
    </cfRule>
    <cfRule type="cellIs" dxfId="4" priority="5" stopIfTrue="1" operator="between">
      <formula>1</formula>
      <formula>5</formula>
    </cfRule>
    <cfRule type="cellIs" dxfId="3" priority="6" stopIfTrue="1" operator="greaterThan">
      <formula>5</formula>
    </cfRule>
  </conditionalFormatting>
  <conditionalFormatting sqref="D71">
    <cfRule type="cellIs" dxfId="2" priority="7" stopIfTrue="1" operator="equal">
      <formula>0</formula>
    </cfRule>
    <cfRule type="cellIs" dxfId="1" priority="8" stopIfTrue="1" operator="between">
      <formula>1</formula>
      <formula>5</formula>
    </cfRule>
    <cfRule type="cellIs" dxfId="0" priority="9" stopIfTrue="1" operator="greaterThan">
      <formula>5</formula>
    </cfRule>
  </conditionalFormatting>
  <dataValidations count="1">
    <dataValidation type="list" allowBlank="1" showInputMessage="1" showErrorMessage="1" promptTitle="Score" prompt="0         Not Available_x000a_1         Very Weak_x000a_2         So-so_x000a_3         Acceptable_x000a_4         Good_x000a_5         Very Good" sqref="D18:D23 D41:D44 D15 D29:D35 D71 D50:D55 D61:D63" xr:uid="{5FE0A57A-5C14-4D02-902E-7B4E6F41E690}">
      <formula1>"0,1,2,3,4,5"</formula1>
    </dataValidation>
  </dataValidations>
  <pageMargins left="0.7" right="0.56000000000000005" top="0.75" bottom="0.42" header="0.3" footer="0.3"/>
  <pageSetup paperSize="9" scale="64" fitToWidth="0" orientation="portrait" r:id="rId1"/>
  <colBreaks count="2" manualBreakCount="2">
    <brk id="5" max="73" man="1"/>
    <brk id="6" max="73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1"/>
  <sheetViews>
    <sheetView topLeftCell="H18" workbookViewId="0">
      <selection activeCell="H6" sqref="H6"/>
    </sheetView>
  </sheetViews>
  <sheetFormatPr defaultRowHeight="12.75"/>
  <cols>
    <col min="1" max="1" width="9" style="82"/>
    <col min="2" max="2" width="4" customWidth="1"/>
    <col min="3" max="3" width="42" customWidth="1"/>
    <col min="4" max="4" width="16.85546875" customWidth="1"/>
    <col min="5" max="5" width="18" customWidth="1"/>
    <col min="6" max="6" width="18.42578125" customWidth="1"/>
    <col min="7" max="9" width="18.28515625" customWidth="1"/>
  </cols>
  <sheetData>
    <row r="1" spans="1:9" ht="15">
      <c r="B1" s="162" t="s">
        <v>206</v>
      </c>
      <c r="C1" s="162"/>
      <c r="D1" s="162"/>
      <c r="E1" s="162"/>
      <c r="F1" s="162"/>
      <c r="G1" s="162"/>
      <c r="H1" s="162"/>
    </row>
    <row r="2" spans="1:9" ht="15">
      <c r="B2" s="5"/>
      <c r="C2" s="5"/>
      <c r="D2" s="5"/>
      <c r="E2" s="5"/>
      <c r="F2" s="5"/>
      <c r="G2" s="5"/>
      <c r="H2" s="5"/>
    </row>
    <row r="3" spans="1:9" ht="15.4" thickBot="1">
      <c r="B3" s="6"/>
      <c r="D3" t="s">
        <v>207</v>
      </c>
      <c r="I3" t="s">
        <v>208</v>
      </c>
    </row>
    <row r="4" spans="1:9" ht="15">
      <c r="B4" s="6"/>
      <c r="D4" s="163" t="s">
        <v>209</v>
      </c>
      <c r="E4" s="164"/>
      <c r="F4" s="164"/>
      <c r="G4" s="164"/>
      <c r="H4" s="164"/>
      <c r="I4" s="165"/>
    </row>
    <row r="5" spans="1:9" ht="13.15">
      <c r="A5" s="56"/>
      <c r="B5" s="48" t="s">
        <v>210</v>
      </c>
      <c r="C5" s="48" t="s">
        <v>211</v>
      </c>
      <c r="D5" s="49">
        <v>0</v>
      </c>
      <c r="E5" s="49">
        <v>1</v>
      </c>
      <c r="F5" s="49">
        <v>2</v>
      </c>
      <c r="G5" s="49">
        <v>3</v>
      </c>
      <c r="H5" s="49">
        <v>4</v>
      </c>
      <c r="I5" s="49">
        <v>5</v>
      </c>
    </row>
    <row r="6" spans="1:9" ht="56.25" customHeight="1">
      <c r="A6" s="56" t="s">
        <v>151</v>
      </c>
      <c r="B6" s="143">
        <v>1</v>
      </c>
      <c r="C6" s="83" t="s">
        <v>14</v>
      </c>
      <c r="D6" s="85" t="s">
        <v>212</v>
      </c>
      <c r="E6" s="85" t="s">
        <v>213</v>
      </c>
      <c r="F6" s="85" t="s">
        <v>214</v>
      </c>
      <c r="G6" s="85" t="s">
        <v>215</v>
      </c>
      <c r="H6" s="84" t="s">
        <v>216</v>
      </c>
      <c r="I6" s="84" t="s">
        <v>217</v>
      </c>
    </row>
    <row r="7" spans="1:9" ht="45.75" customHeight="1">
      <c r="A7" s="56"/>
      <c r="B7" s="143">
        <v>2</v>
      </c>
      <c r="C7" s="83" t="s">
        <v>18</v>
      </c>
      <c r="D7" s="85" t="s">
        <v>212</v>
      </c>
      <c r="E7" s="85" t="s">
        <v>218</v>
      </c>
      <c r="F7" s="85" t="s">
        <v>219</v>
      </c>
      <c r="G7" s="85" t="s">
        <v>220</v>
      </c>
      <c r="H7" s="84" t="s">
        <v>221</v>
      </c>
      <c r="I7" s="84" t="s">
        <v>222</v>
      </c>
    </row>
    <row r="8" spans="1:9" ht="45.75" customHeight="1">
      <c r="A8" s="56"/>
      <c r="B8" s="143">
        <v>3</v>
      </c>
      <c r="C8" s="85" t="s">
        <v>223</v>
      </c>
      <c r="D8" s="85" t="s">
        <v>212</v>
      </c>
      <c r="E8" s="85" t="s">
        <v>224</v>
      </c>
      <c r="F8" s="85" t="s">
        <v>225</v>
      </c>
      <c r="G8" s="85" t="s">
        <v>226</v>
      </c>
      <c r="H8" s="85" t="s">
        <v>227</v>
      </c>
      <c r="I8" s="84" t="s">
        <v>228</v>
      </c>
    </row>
    <row r="9" spans="1:9" ht="56.25" customHeight="1">
      <c r="A9" s="56"/>
      <c r="B9" s="143">
        <v>4</v>
      </c>
      <c r="C9" s="85" t="s">
        <v>229</v>
      </c>
      <c r="D9" s="85" t="s">
        <v>212</v>
      </c>
      <c r="E9" s="85" t="s">
        <v>230</v>
      </c>
      <c r="F9" s="85" t="s">
        <v>231</v>
      </c>
      <c r="G9" s="85" t="s">
        <v>232</v>
      </c>
      <c r="H9" s="85" t="s">
        <v>233</v>
      </c>
      <c r="I9" s="84" t="s">
        <v>234</v>
      </c>
    </row>
    <row r="10" spans="1:9" ht="45.75" customHeight="1">
      <c r="A10" s="56"/>
      <c r="B10" s="143">
        <v>5</v>
      </c>
      <c r="C10" s="85" t="s">
        <v>24</v>
      </c>
      <c r="D10" s="85"/>
      <c r="E10" s="85" t="s">
        <v>235</v>
      </c>
      <c r="F10" s="85"/>
      <c r="G10" s="85" t="s">
        <v>236</v>
      </c>
      <c r="H10" s="85"/>
      <c r="I10" s="84" t="s">
        <v>237</v>
      </c>
    </row>
    <row r="11" spans="1:9" ht="45.75" customHeight="1">
      <c r="A11" s="56"/>
      <c r="B11" s="143">
        <v>6</v>
      </c>
      <c r="C11" s="85" t="s">
        <v>26</v>
      </c>
      <c r="D11" s="85" t="s">
        <v>212</v>
      </c>
      <c r="E11" s="85" t="s">
        <v>238</v>
      </c>
      <c r="F11" s="85" t="s">
        <v>239</v>
      </c>
      <c r="G11" s="85" t="s">
        <v>240</v>
      </c>
      <c r="H11" s="85" t="s">
        <v>241</v>
      </c>
      <c r="I11" s="84" t="s">
        <v>242</v>
      </c>
    </row>
    <row r="12" spans="1:9" ht="45.75" customHeight="1">
      <c r="A12" s="56"/>
      <c r="B12" s="143"/>
      <c r="C12" s="85" t="s">
        <v>243</v>
      </c>
      <c r="D12" s="86">
        <v>0</v>
      </c>
      <c r="E12" s="86">
        <v>0.1</v>
      </c>
      <c r="F12" s="86">
        <v>0.3</v>
      </c>
      <c r="G12" s="86">
        <v>0.5</v>
      </c>
      <c r="H12" s="86">
        <v>0.7</v>
      </c>
      <c r="I12" s="87">
        <v>1</v>
      </c>
    </row>
    <row r="13" spans="1:9" ht="45.75" customHeight="1">
      <c r="A13" s="56" t="s">
        <v>163</v>
      </c>
      <c r="B13" s="143">
        <v>6</v>
      </c>
      <c r="C13" s="85" t="s">
        <v>33</v>
      </c>
      <c r="D13" s="85" t="s">
        <v>212</v>
      </c>
      <c r="E13" s="85" t="s">
        <v>244</v>
      </c>
      <c r="F13" s="85" t="s">
        <v>245</v>
      </c>
      <c r="G13" s="85" t="s">
        <v>246</v>
      </c>
      <c r="H13" s="85" t="s">
        <v>247</v>
      </c>
      <c r="I13" s="84" t="s">
        <v>248</v>
      </c>
    </row>
    <row r="14" spans="1:9" ht="45.75" customHeight="1">
      <c r="A14" s="56"/>
      <c r="B14" s="143">
        <v>7</v>
      </c>
      <c r="C14" s="85" t="s">
        <v>35</v>
      </c>
      <c r="D14" s="85" t="s">
        <v>212</v>
      </c>
      <c r="E14" s="85" t="s">
        <v>249</v>
      </c>
      <c r="F14" s="85" t="s">
        <v>250</v>
      </c>
      <c r="G14" s="85" t="s">
        <v>251</v>
      </c>
      <c r="H14" s="85" t="s">
        <v>252</v>
      </c>
      <c r="I14" s="84" t="s">
        <v>253</v>
      </c>
    </row>
    <row r="15" spans="1:9" ht="78.75" customHeight="1">
      <c r="A15" s="56"/>
      <c r="B15" s="143">
        <v>8</v>
      </c>
      <c r="C15" s="85" t="s">
        <v>254</v>
      </c>
      <c r="D15" s="85" t="s">
        <v>212</v>
      </c>
      <c r="E15" s="85" t="s">
        <v>255</v>
      </c>
      <c r="F15" s="85" t="s">
        <v>256</v>
      </c>
      <c r="G15" s="85" t="s">
        <v>257</v>
      </c>
      <c r="H15" s="85" t="s">
        <v>258</v>
      </c>
      <c r="I15" s="84" t="s">
        <v>259</v>
      </c>
    </row>
    <row r="16" spans="1:9" ht="45.75" customHeight="1">
      <c r="A16" s="56"/>
      <c r="B16" s="143">
        <v>9</v>
      </c>
      <c r="C16" s="85" t="s">
        <v>260</v>
      </c>
      <c r="D16" s="85" t="s">
        <v>212</v>
      </c>
      <c r="E16" s="85" t="s">
        <v>244</v>
      </c>
      <c r="F16" s="85" t="s">
        <v>245</v>
      </c>
      <c r="G16" s="85" t="s">
        <v>246</v>
      </c>
      <c r="H16" s="85" t="s">
        <v>247</v>
      </c>
      <c r="I16" s="84" t="s">
        <v>248</v>
      </c>
    </row>
    <row r="17" spans="1:9" ht="63" customHeight="1">
      <c r="A17" s="56"/>
      <c r="B17" s="143">
        <v>10</v>
      </c>
      <c r="C17" s="85" t="s">
        <v>261</v>
      </c>
      <c r="D17" s="85" t="s">
        <v>212</v>
      </c>
      <c r="E17" s="85" t="s">
        <v>244</v>
      </c>
      <c r="F17" s="85" t="s">
        <v>245</v>
      </c>
      <c r="G17" s="85" t="s">
        <v>246</v>
      </c>
      <c r="H17" s="85" t="s">
        <v>247</v>
      </c>
      <c r="I17" s="84" t="s">
        <v>262</v>
      </c>
    </row>
    <row r="18" spans="1:9" ht="45.75" customHeight="1">
      <c r="A18" s="56"/>
      <c r="B18" s="143">
        <v>11</v>
      </c>
      <c r="C18" s="85" t="s">
        <v>263</v>
      </c>
      <c r="D18" s="85" t="s">
        <v>212</v>
      </c>
      <c r="E18" s="85" t="s">
        <v>264</v>
      </c>
      <c r="F18" s="85" t="s">
        <v>265</v>
      </c>
      <c r="G18" s="85" t="s">
        <v>266</v>
      </c>
      <c r="H18" s="85" t="s">
        <v>267</v>
      </c>
      <c r="I18" s="84" t="s">
        <v>268</v>
      </c>
    </row>
    <row r="19" spans="1:9" ht="45.75" customHeight="1">
      <c r="A19" s="56"/>
      <c r="B19" s="143">
        <v>12</v>
      </c>
      <c r="C19" s="85" t="s">
        <v>269</v>
      </c>
      <c r="D19" s="85" t="s">
        <v>212</v>
      </c>
      <c r="E19" s="85" t="s">
        <v>244</v>
      </c>
      <c r="F19" s="85" t="s">
        <v>245</v>
      </c>
      <c r="G19" s="85" t="s">
        <v>246</v>
      </c>
      <c r="H19" s="85" t="s">
        <v>247</v>
      </c>
      <c r="I19" s="84" t="s">
        <v>270</v>
      </c>
    </row>
    <row r="20" spans="1:9" ht="45.75" customHeight="1">
      <c r="A20" s="56"/>
      <c r="B20" s="143">
        <v>13</v>
      </c>
      <c r="C20" s="85" t="s">
        <v>271</v>
      </c>
      <c r="D20" s="85" t="s">
        <v>212</v>
      </c>
      <c r="E20" s="85" t="s">
        <v>244</v>
      </c>
      <c r="F20" s="85" t="s">
        <v>245</v>
      </c>
      <c r="G20" s="85" t="s">
        <v>246</v>
      </c>
      <c r="H20" s="85" t="s">
        <v>247</v>
      </c>
      <c r="I20" s="84" t="s">
        <v>270</v>
      </c>
    </row>
    <row r="21" spans="1:9" ht="45.75" customHeight="1">
      <c r="A21" s="56" t="s">
        <v>173</v>
      </c>
      <c r="B21" s="143">
        <v>14</v>
      </c>
      <c r="C21" s="85" t="s">
        <v>272</v>
      </c>
      <c r="D21" s="85" t="s">
        <v>273</v>
      </c>
      <c r="E21" s="85" t="s">
        <v>274</v>
      </c>
      <c r="F21" s="85" t="s">
        <v>275</v>
      </c>
      <c r="G21" s="85" t="s">
        <v>276</v>
      </c>
      <c r="H21" s="85" t="s">
        <v>277</v>
      </c>
      <c r="I21" s="84" t="s">
        <v>278</v>
      </c>
    </row>
    <row r="22" spans="1:9" ht="57" customHeight="1">
      <c r="A22" s="56"/>
      <c r="B22" s="143">
        <v>15</v>
      </c>
      <c r="C22" s="85" t="s">
        <v>279</v>
      </c>
      <c r="D22" s="85" t="s">
        <v>280</v>
      </c>
      <c r="E22" s="85" t="s">
        <v>281</v>
      </c>
      <c r="F22" s="85" t="s">
        <v>282</v>
      </c>
      <c r="G22" s="85" t="s">
        <v>283</v>
      </c>
      <c r="H22" s="84" t="s">
        <v>284</v>
      </c>
      <c r="I22" s="84" t="s">
        <v>285</v>
      </c>
    </row>
    <row r="23" spans="1:9" ht="45.75" customHeight="1">
      <c r="A23" s="56"/>
      <c r="B23" s="143">
        <v>16</v>
      </c>
      <c r="C23" s="85" t="s">
        <v>286</v>
      </c>
      <c r="D23" s="85" t="s">
        <v>212</v>
      </c>
      <c r="E23" s="85" t="s">
        <v>244</v>
      </c>
      <c r="F23" s="85" t="s">
        <v>245</v>
      </c>
      <c r="G23" s="85" t="s">
        <v>246</v>
      </c>
      <c r="H23" s="85" t="s">
        <v>247</v>
      </c>
      <c r="I23" s="84" t="s">
        <v>270</v>
      </c>
    </row>
    <row r="24" spans="1:9" ht="60" customHeight="1">
      <c r="A24" s="56"/>
      <c r="B24" s="143">
        <v>17</v>
      </c>
      <c r="C24" s="85" t="s">
        <v>182</v>
      </c>
      <c r="D24" s="85" t="s">
        <v>212</v>
      </c>
      <c r="E24" s="85" t="s">
        <v>287</v>
      </c>
      <c r="F24" s="85" t="s">
        <v>288</v>
      </c>
      <c r="G24" s="85" t="s">
        <v>289</v>
      </c>
      <c r="H24" s="85" t="s">
        <v>290</v>
      </c>
      <c r="I24" s="84" t="s">
        <v>291</v>
      </c>
    </row>
    <row r="25" spans="1:9" ht="45.75" customHeight="1">
      <c r="A25" s="56" t="s">
        <v>183</v>
      </c>
      <c r="B25" s="143">
        <v>18</v>
      </c>
      <c r="C25" s="85" t="s">
        <v>292</v>
      </c>
      <c r="D25" s="85"/>
      <c r="E25" s="85"/>
      <c r="F25" s="85"/>
      <c r="G25" s="85"/>
      <c r="H25" s="85"/>
      <c r="I25" s="84"/>
    </row>
    <row r="26" spans="1:9" ht="45.75" customHeight="1">
      <c r="A26" s="56" t="s">
        <v>193</v>
      </c>
      <c r="B26" s="143">
        <v>20</v>
      </c>
      <c r="C26" s="83" t="s">
        <v>76</v>
      </c>
      <c r="D26" s="85" t="s">
        <v>212</v>
      </c>
      <c r="E26" s="85" t="s">
        <v>293</v>
      </c>
      <c r="F26" s="85" t="s">
        <v>294</v>
      </c>
      <c r="G26" s="85" t="s">
        <v>295</v>
      </c>
      <c r="H26" s="85" t="s">
        <v>296</v>
      </c>
      <c r="I26" s="84" t="s">
        <v>297</v>
      </c>
    </row>
    <row r="27" spans="1:9" ht="45.75" customHeight="1">
      <c r="A27" s="56"/>
      <c r="B27" s="143">
        <v>21</v>
      </c>
      <c r="C27" s="83" t="s">
        <v>199</v>
      </c>
      <c r="D27" s="85" t="s">
        <v>298</v>
      </c>
      <c r="E27" s="85" t="s">
        <v>299</v>
      </c>
      <c r="F27" s="85" t="s">
        <v>300</v>
      </c>
      <c r="G27" s="85" t="s">
        <v>301</v>
      </c>
      <c r="H27" s="85" t="s">
        <v>302</v>
      </c>
      <c r="I27" s="84" t="s">
        <v>303</v>
      </c>
    </row>
    <row r="28" spans="1:9" ht="45.75" customHeight="1">
      <c r="A28" s="56"/>
      <c r="B28" s="143">
        <v>22</v>
      </c>
      <c r="C28" s="83" t="s">
        <v>80</v>
      </c>
      <c r="D28" s="85" t="s">
        <v>304</v>
      </c>
      <c r="E28" s="85" t="s">
        <v>305</v>
      </c>
      <c r="F28" s="85" t="s">
        <v>306</v>
      </c>
      <c r="G28" s="85" t="s">
        <v>307</v>
      </c>
      <c r="H28" s="85" t="s">
        <v>308</v>
      </c>
      <c r="I28" s="84" t="s">
        <v>309</v>
      </c>
    </row>
    <row r="29" spans="1:9">
      <c r="B29" s="144"/>
      <c r="C29" s="145"/>
      <c r="D29" s="88"/>
      <c r="E29" s="88"/>
      <c r="F29" s="88"/>
      <c r="G29" s="88"/>
      <c r="H29" s="88"/>
      <c r="I29" s="89"/>
    </row>
    <row r="30" spans="1:9" ht="13.15">
      <c r="A30" s="56"/>
      <c r="B30" s="48" t="s">
        <v>210</v>
      </c>
      <c r="C30" s="48" t="s">
        <v>211</v>
      </c>
      <c r="D30" s="49">
        <v>0</v>
      </c>
      <c r="E30" s="49">
        <v>1</v>
      </c>
      <c r="F30" s="49">
        <v>2</v>
      </c>
      <c r="G30" s="49">
        <v>3</v>
      </c>
      <c r="H30" s="49">
        <v>4</v>
      </c>
      <c r="I30" s="49">
        <v>5</v>
      </c>
    </row>
    <row r="31" spans="1:9" ht="45.75" customHeight="1">
      <c r="A31" s="56" t="s">
        <v>204</v>
      </c>
      <c r="B31" s="143">
        <v>23</v>
      </c>
      <c r="C31" s="83" t="s">
        <v>204</v>
      </c>
      <c r="D31" s="85" t="s">
        <v>212</v>
      </c>
      <c r="E31" s="85" t="s">
        <v>310</v>
      </c>
      <c r="F31" s="85" t="s">
        <v>311</v>
      </c>
      <c r="G31" s="85" t="s">
        <v>312</v>
      </c>
      <c r="H31" s="85" t="s">
        <v>313</v>
      </c>
      <c r="I31" s="84" t="s">
        <v>314</v>
      </c>
    </row>
  </sheetData>
  <mergeCells count="2">
    <mergeCell ref="B1:H1"/>
    <mergeCell ref="D4:I4"/>
  </mergeCells>
  <phoneticPr fontId="0" type="noConversion"/>
  <pageMargins left="0.25" right="0.25" top="0.5" bottom="0.5" header="0.5" footer="0.5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A8B8BEC819045BB6578CB681C4E42" ma:contentTypeVersion="4" ma:contentTypeDescription="Create a new document." ma:contentTypeScope="" ma:versionID="babf44afdc8dae2f5040fecc5a2562bd">
  <xsd:schema xmlns:xsd="http://www.w3.org/2001/XMLSchema" xmlns:xs="http://www.w3.org/2001/XMLSchema" xmlns:p="http://schemas.microsoft.com/office/2006/metadata/properties" xmlns:ns2="b0d2fd45-d672-4d04-be26-4031048a0703" targetNamespace="http://schemas.microsoft.com/office/2006/metadata/properties" ma:root="true" ma:fieldsID="52f6ed4692b513b2d830309f6c589ccd" ns2:_="">
    <xsd:import namespace="b0d2fd45-d672-4d04-be26-4031048a0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2fd45-d672-4d04-be26-4031048a07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A10768-7902-4F96-A34B-75C39F442A49}"/>
</file>

<file path=customXml/itemProps2.xml><?xml version="1.0" encoding="utf-8"?>
<ds:datastoreItem xmlns:ds="http://schemas.openxmlformats.org/officeDocument/2006/customXml" ds:itemID="{E6E2FEAA-A5B0-413C-A3C0-D4DBC07FC074}"/>
</file>

<file path=customXml/itemProps3.xml><?xml version="1.0" encoding="utf-8"?>
<ds:datastoreItem xmlns:ds="http://schemas.openxmlformats.org/officeDocument/2006/customXml" ds:itemID="{C2ABC9C0-B95E-4F10-B7F8-640A8F3C90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/>
  <cp:revision/>
  <dcterms:created xsi:type="dcterms:W3CDTF">2007-04-16T10:58:01Z</dcterms:created>
  <dcterms:modified xsi:type="dcterms:W3CDTF">2026-09-18T02:27:20Z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0x01010018CA8B8BEC819045BB6578CB681C4E42</vt:lpwstr>
  </property>
  <property fmtid="{D5CDD505-2E9C-101B-9397-08002B2CF9AE}" pid="3" name="MediaServiceImageTags">
    <vt:lpwstr/>
  </property>
</Properties>
</file>